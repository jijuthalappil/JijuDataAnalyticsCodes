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LEARN_NIIT\Gitcode\JijuDataAnalyticsCodes\DetectingOutleyers_in_CentralTendency\"/>
    </mc:Choice>
  </mc:AlternateContent>
  <xr:revisionPtr revIDLastSave="0" documentId="13_ncr:1_{C9263170-218D-44E8-BA2E-01AB41F13FDC}" xr6:coauthVersionLast="47" xr6:coauthVersionMax="47" xr10:uidLastSave="{00000000-0000-0000-0000-000000000000}"/>
  <bookViews>
    <workbookView xWindow="-108" yWindow="-108" windowWidth="23256" windowHeight="11964" activeTab="2" xr2:uid="{D979C548-E75C-4F1F-ADF0-715EFB7DF4F4}"/>
  </bookViews>
  <sheets>
    <sheet name="University Data" sheetId="1" r:id="rId1"/>
    <sheet name="Demo 1" sheetId="2" r:id="rId2"/>
    <sheet name="Demo 2" sheetId="3" r:id="rId3"/>
    <sheet name="Demo 3" sheetId="4" r:id="rId4"/>
    <sheet name="Demo 4" sheetId="6" r:id="rId5"/>
  </sheets>
  <definedNames>
    <definedName name="_xlchart.v1.0" hidden="1">'Demo 2'!$A$2</definedName>
    <definedName name="_xlchart.v1.1" hidden="1">'Demo 2'!$A$3:$A$18</definedName>
    <definedName name="_xlchart.v1.10" hidden="1">'Demo 2'!$C$2</definedName>
    <definedName name="_xlchart.v1.11" hidden="1">'Demo 2'!$C$3:$C$18</definedName>
    <definedName name="_xlchart.v1.12" hidden="1">'Demo 2'!$A$2</definedName>
    <definedName name="_xlchart.v1.13" hidden="1">'Demo 2'!$A$3:$A$18</definedName>
    <definedName name="_xlchart.v1.14" hidden="1">'Demo 2'!$B$2</definedName>
    <definedName name="_xlchart.v1.15" hidden="1">'Demo 2'!$B$3:$B$18</definedName>
    <definedName name="_xlchart.v1.16" hidden="1">'Demo 2'!$C$2</definedName>
    <definedName name="_xlchart.v1.17" hidden="1">'Demo 2'!$C$3:$C$18</definedName>
    <definedName name="_xlchart.v1.18" hidden="1">'Demo 4'!$A$3</definedName>
    <definedName name="_xlchart.v1.19" hidden="1">'Demo 4'!$A$4:$A$19</definedName>
    <definedName name="_xlchart.v1.2" hidden="1">'Demo 2'!$B$2</definedName>
    <definedName name="_xlchart.v1.20" hidden="1">'Demo 4'!$B$3</definedName>
    <definedName name="_xlchart.v1.21" hidden="1">'Demo 4'!$B$4:$B$19</definedName>
    <definedName name="_xlchart.v1.22" hidden="1">'Demo 4'!$C$3</definedName>
    <definedName name="_xlchart.v1.23" hidden="1">'Demo 4'!$C$4:$C$19</definedName>
    <definedName name="_xlchart.v1.24" hidden="1">'Demo 2'!$A$2</definedName>
    <definedName name="_xlchart.v1.25" hidden="1">'Demo 2'!$A$3:$A$18</definedName>
    <definedName name="_xlchart.v1.26" hidden="1">'Demo 2'!$B$2</definedName>
    <definedName name="_xlchart.v1.27" hidden="1">'Demo 2'!$B$3:$B$18</definedName>
    <definedName name="_xlchart.v1.28" hidden="1">'Demo 2'!$C$2</definedName>
    <definedName name="_xlchart.v1.29" hidden="1">'Demo 2'!$C$3:$C$18</definedName>
    <definedName name="_xlchart.v1.3" hidden="1">'Demo 2'!$B$3:$B$18</definedName>
    <definedName name="_xlchart.v1.30" hidden="1">'Demo 4'!$A$3</definedName>
    <definedName name="_xlchart.v1.31" hidden="1">'Demo 4'!$A$4:$A$19</definedName>
    <definedName name="_xlchart.v1.32" hidden="1">'Demo 4'!$B$3</definedName>
    <definedName name="_xlchart.v1.33" hidden="1">'Demo 4'!$B$4:$B$19</definedName>
    <definedName name="_xlchart.v1.34" hidden="1">'Demo 4'!$C$3</definedName>
    <definedName name="_xlchart.v1.35" hidden="1">'Demo 4'!$C$4:$C$19</definedName>
    <definedName name="_xlchart.v1.36" hidden="1">'Demo 4'!$A$3</definedName>
    <definedName name="_xlchart.v1.37" hidden="1">'Demo 4'!$A$4:$A$19</definedName>
    <definedName name="_xlchart.v1.38" hidden="1">'Demo 4'!$B$3</definedName>
    <definedName name="_xlchart.v1.39" hidden="1">'Demo 4'!$B$4:$B$19</definedName>
    <definedName name="_xlchart.v1.4" hidden="1">'Demo 2'!$C$2</definedName>
    <definedName name="_xlchart.v1.40" hidden="1">'Demo 4'!$C$3</definedName>
    <definedName name="_xlchart.v1.41" hidden="1">'Demo 4'!$C$4:$C$19</definedName>
    <definedName name="_xlchart.v1.42" hidden="1">'Demo 4'!$A$3</definedName>
    <definedName name="_xlchart.v1.43" hidden="1">'Demo 4'!$A$4:$A$19</definedName>
    <definedName name="_xlchart.v1.44" hidden="1">'Demo 4'!$B$3</definedName>
    <definedName name="_xlchart.v1.45" hidden="1">'Demo 4'!$B$4:$B$19</definedName>
    <definedName name="_xlchart.v1.46" hidden="1">'Demo 4'!$C$3</definedName>
    <definedName name="_xlchart.v1.47" hidden="1">'Demo 4'!$C$4:$C$19</definedName>
    <definedName name="_xlchart.v1.5" hidden="1">'Demo 2'!$C$3:$C$18</definedName>
    <definedName name="_xlchart.v1.6" hidden="1">'Demo 2'!$A$2</definedName>
    <definedName name="_xlchart.v1.7" hidden="1">'Demo 2'!$A$3:$A$18</definedName>
    <definedName name="_xlchart.v1.8" hidden="1">'Demo 2'!$B$2</definedName>
    <definedName name="_xlchart.v1.9" hidden="1">'Demo 2'!$B$3:$B$18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5" i="6"/>
  <c r="H4" i="6"/>
  <c r="G5" i="6"/>
  <c r="G4" i="6"/>
  <c r="G3" i="6"/>
  <c r="F5" i="6"/>
  <c r="F4" i="6"/>
  <c r="F3" i="6"/>
  <c r="H6" i="3"/>
  <c r="H5" i="3"/>
  <c r="G5" i="3"/>
  <c r="F5" i="3"/>
  <c r="F6" i="3"/>
  <c r="G6" i="3"/>
  <c r="H4" i="3"/>
  <c r="G4" i="3"/>
  <c r="F4" i="3"/>
  <c r="H3" i="3"/>
  <c r="H2" i="3"/>
  <c r="G3" i="3"/>
  <c r="F3" i="3"/>
  <c r="G2" i="3"/>
  <c r="F2" i="3"/>
  <c r="H5" i="2"/>
  <c r="H4" i="2"/>
  <c r="H3" i="2"/>
  <c r="G5" i="2"/>
  <c r="G4" i="2"/>
  <c r="G3" i="2"/>
  <c r="F3" i="2"/>
  <c r="F4" i="2"/>
  <c r="F5" i="2"/>
</calcChain>
</file>

<file path=xl/sharedStrings.xml><?xml version="1.0" encoding="utf-8"?>
<sst xmlns="http://schemas.openxmlformats.org/spreadsheetml/2006/main" count="315" uniqueCount="83">
  <si>
    <t>Student Name</t>
  </si>
  <si>
    <t>University</t>
  </si>
  <si>
    <t>Package Offered</t>
  </si>
  <si>
    <t>Student Native Country</t>
  </si>
  <si>
    <t>Domain</t>
  </si>
  <si>
    <t>Bella Wilson</t>
  </si>
  <si>
    <t>Finance</t>
  </si>
  <si>
    <t>USA</t>
  </si>
  <si>
    <t>Aayansh Sharma</t>
  </si>
  <si>
    <t>Boston</t>
  </si>
  <si>
    <t>India</t>
  </si>
  <si>
    <t>Aditya Pandey</t>
  </si>
  <si>
    <t>Washington</t>
  </si>
  <si>
    <t>IT</t>
  </si>
  <si>
    <t>Dhruv Verma</t>
  </si>
  <si>
    <t>Jack Wright</t>
  </si>
  <si>
    <t>Elena Green</t>
  </si>
  <si>
    <t>William Carter</t>
  </si>
  <si>
    <t>John Edwards</t>
  </si>
  <si>
    <t>John Parker</t>
  </si>
  <si>
    <t>Ivaan Thakrey</t>
  </si>
  <si>
    <t>Serenity Taylor</t>
  </si>
  <si>
    <t>Sophie Adamas</t>
  </si>
  <si>
    <t>Kabir Singh</t>
  </si>
  <si>
    <t>Arjun Singh</t>
  </si>
  <si>
    <t>Rudra Verma</t>
  </si>
  <si>
    <t>Lucus Jones</t>
  </si>
  <si>
    <t>Maya Haris</t>
  </si>
  <si>
    <t>Velentina Clark</t>
  </si>
  <si>
    <t>Robert Anderson</t>
  </si>
  <si>
    <t>Delilah Williams</t>
  </si>
  <si>
    <t>Charles Taylor</t>
  </si>
  <si>
    <t>Anna Perez</t>
  </si>
  <si>
    <t>Ivy Thomas</t>
  </si>
  <si>
    <t>Richard Thompson</t>
  </si>
  <si>
    <t>Ariana Jackson</t>
  </si>
  <si>
    <t>Yuvaan Sharma</t>
  </si>
  <si>
    <t>Oliver Smith</t>
  </si>
  <si>
    <t>Ethan S</t>
  </si>
  <si>
    <t>UAE</t>
  </si>
  <si>
    <t>Jacob Williams</t>
  </si>
  <si>
    <t>James Martinez</t>
  </si>
  <si>
    <t>Ruby Wilson</t>
  </si>
  <si>
    <t>Skylar Walker</t>
  </si>
  <si>
    <t>Italy</t>
  </si>
  <si>
    <t>Hailey Allen</t>
  </si>
  <si>
    <t>Veer Patil</t>
  </si>
  <si>
    <t>Ishaan Verma</t>
  </si>
  <si>
    <t>Ahmed Shah</t>
  </si>
  <si>
    <t>Michael Baker</t>
  </si>
  <si>
    <t>Viyaan K</t>
  </si>
  <si>
    <t>Thomas Turner</t>
  </si>
  <si>
    <t>Bank</t>
  </si>
  <si>
    <t>Henry Parker</t>
  </si>
  <si>
    <t>Shivnew Patel</t>
  </si>
  <si>
    <t>Atharv Mahajan</t>
  </si>
  <si>
    <t>Thomas Edward</t>
  </si>
  <si>
    <t>Micheal Roger</t>
  </si>
  <si>
    <t>Harvard</t>
  </si>
  <si>
    <t>Q1</t>
  </si>
  <si>
    <t>Q3</t>
  </si>
  <si>
    <t>IQR</t>
  </si>
  <si>
    <t>Lower Fence</t>
  </si>
  <si>
    <t>Upper Fence</t>
  </si>
  <si>
    <t>Data with Outliers</t>
  </si>
  <si>
    <t>Identified Outliers</t>
  </si>
  <si>
    <t>Data after Outlier Treatment</t>
  </si>
  <si>
    <t>Central Tendency after Outlier Treatment</t>
  </si>
  <si>
    <t>Central Tendency with Outliers</t>
  </si>
  <si>
    <t>Prior Work Experience (years)</t>
  </si>
  <si>
    <t>Pharmaceutical</t>
  </si>
  <si>
    <t>Claire Anderson</t>
  </si>
  <si>
    <t>Amelia Houston</t>
  </si>
  <si>
    <t>Nita Vora</t>
  </si>
  <si>
    <t>Amara Barone</t>
  </si>
  <si>
    <t>Type of Company Placed</t>
  </si>
  <si>
    <t>Mean</t>
  </si>
  <si>
    <t>Median</t>
  </si>
  <si>
    <t>Mode</t>
  </si>
  <si>
    <t>After Outlier treat ment</t>
  </si>
  <si>
    <t>IQR Formula:Q3-Q1</t>
  </si>
  <si>
    <t>Lower fence:Q1-1.5*IQR</t>
  </si>
  <si>
    <t>Upper Fence:Q3+1.5*IQR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</si>
</sst>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₹&quot;\ * #,##0.00_ ;_ &quot;₹&quot;\ * \-#,##0.00_ ;_ &quot;₹&quot;\ * &quot;-&quot;??_ ;_ @_ "/>
    <numFmt numFmtId="165" formatCode="_(&quot;$&quot;* #,##0_);_(&quot;$&quot;* \(#,##0\);_(&quot;$&quot;* &quot;-&quot;??_);_(@_)"/>
    <numFmt numFmtId="166" formatCode="_-[$$-409]* #,##0_ ;_-[$$-409]* \-#,##0\ ;_-[$$-409]* &quot;-&quot;??_ ;_-@_ "/>
    <numFmt numFmtId="167" formatCode="_-[$$-409]* #,##0.00_ ;_-[$$-409]* \-#,##0.00\ ;_-[$$-409]* &quot;-&quot;??_ ;_-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165" fontId="0" fillId="0" borderId="0" xfId="0" applyNumberFormat="1"/>
    <xf numFmtId="0" fontId="2" fillId="0" borderId="0" xfId="0" applyFont="1" applyAlignment="1">
      <alignment wrapText="1"/>
    </xf>
    <xf numFmtId="165" fontId="0" fillId="0" borderId="0" xfId="1" applyNumberFormat="1" applyFont="1" applyBorder="1"/>
    <xf numFmtId="165" fontId="0" fillId="2" borderId="0" xfId="1" applyNumberFormat="1" applyFont="1" applyFill="1" applyBorder="1"/>
    <xf numFmtId="0" fontId="4" fillId="0" borderId="0" xfId="0" applyFont="1"/>
    <xf numFmtId="166" fontId="4" fillId="0" borderId="0" xfId="0" applyNumberFormat="1" applyFont="1"/>
    <xf numFmtId="0" fontId="3" fillId="0" borderId="0" xfId="0" applyFont="1" applyAlignment="1">
      <alignment horizontal="center" vertical="center" wrapText="1"/>
    </xf>
    <xf numFmtId="165" fontId="4" fillId="0" borderId="0" xfId="0" applyNumberFormat="1" applyFont="1"/>
    <xf numFmtId="165" fontId="4" fillId="0" borderId="0" xfId="1" applyNumberFormat="1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65" fontId="4" fillId="0" borderId="0" xfId="1" applyNumberFormat="1" applyFont="1" applyBorder="1"/>
    <xf numFmtId="165" fontId="4" fillId="2" borderId="0" xfId="1" applyNumberFormat="1" applyFont="1" applyFill="1" applyBorder="1"/>
    <xf numFmtId="165" fontId="4" fillId="0" borderId="0" xfId="1" applyNumberFormat="1" applyFont="1" applyFill="1" applyBorder="1"/>
    <xf numFmtId="0" fontId="5" fillId="0" borderId="0" xfId="0" applyFont="1" applyAlignment="1">
      <alignment horizontal="center" vertical="center"/>
    </xf>
    <xf numFmtId="166" fontId="4" fillId="0" borderId="0" xfId="1" applyNumberFormat="1" applyFont="1"/>
    <xf numFmtId="166" fontId="4" fillId="0" borderId="0" xfId="1" applyNumberFormat="1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wrapText="1"/>
    </xf>
    <xf numFmtId="166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4" fillId="0" borderId="0" xfId="0" applyNumberFormat="1" applyFont="1" applyFill="1"/>
    <xf numFmtId="0" fontId="3" fillId="0" borderId="0" xfId="0" applyFont="1" applyFill="1" applyAlignment="1">
      <alignment horizontal="center" wrapText="1"/>
    </xf>
    <xf numFmtId="165" fontId="0" fillId="0" borderId="0" xfId="1" applyNumberFormat="1" applyFont="1" applyFill="1" applyBorder="1"/>
    <xf numFmtId="0" fontId="2" fillId="0" borderId="0" xfId="0" applyFont="1"/>
  </cellXfs>
  <cellStyles count="2">
    <cellStyle name="Currency" xfId="1" builtinId="4"/>
    <cellStyle name="Normal" xfId="0" builtinId="0"/>
  </cellStyles>
  <dxfs count="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35D3BF7E-79AE-4544-BFDC-A1F5D38E648A}">
          <cx:tx>
            <cx:txData>
              <cx:f>_xlchart.v1.0</cx:f>
              <cx:v>Harvard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E7FCAC0-89B5-4E0C-858F-C0396436D418}">
          <cx:tx>
            <cx:txData>
              <cx:f>_xlchart.v1.2</cx:f>
              <cx:v>Boston</cx:v>
            </cx:txData>
          </cx:tx>
          <cx:dataLabels pos="r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AEC7D87-B6ED-4D63-905F-4BD107D836B3}">
          <cx:tx>
            <cx:txData>
              <cx:f>_xlchart.v1.4</cx:f>
              <cx:v>Washington</cx:v>
            </cx:txData>
          </cx:tx>
          <cx:dataLabels pos="r"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/>
    <cx:plotArea>
      <cx:plotAreaRegion>
        <cx:series layoutId="boxWhisker" uniqueId="{35D3BF7E-79AE-4544-BFDC-A1F5D38E648A}">
          <cx:tx>
            <cx:txData>
              <cx:f>_xlchart.v1.24</cx:f>
              <cx:v>Harvard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E7FCAC0-89B5-4E0C-858F-C0396436D418}">
          <cx:tx>
            <cx:txData>
              <cx:f>_xlchart.v1.26</cx:f>
              <cx:v>Boston</cx:v>
            </cx:txData>
          </cx:tx>
          <cx:dataLabels pos="r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AEC7D87-B6ED-4D63-905F-4BD107D836B3}">
          <cx:tx>
            <cx:txData>
              <cx:f>_xlchart.v1.28</cx:f>
              <cx:v>Washington</cx:v>
            </cx:txData>
          </cx:tx>
          <cx:dataLabels pos="r"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/>
    <cx:plotArea>
      <cx:plotAreaRegion>
        <cx:series layoutId="boxWhisker" uniqueId="{DBEA008C-800D-40B3-985C-14B7E2FC4E64}">
          <cx:tx>
            <cx:txData>
              <cx:f>_xlchart.v1.18</cx:f>
              <cx:v>Harvard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FEDF9BE-5037-4E55-92B7-0B847471C302}">
          <cx:tx>
            <cx:txData>
              <cx:f>_xlchart.v1.20</cx:f>
              <cx:v>Boston</cx:v>
            </cx:txData>
          </cx:tx>
          <cx:dataLabels pos="r"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35CC280-6F59-41CA-A4EA-A0FE763DB0E0}">
          <cx:tx>
            <cx:txData>
              <cx:f>_xlchart.v1.22</cx:f>
              <cx:v>Washington</cx:v>
            </cx:txData>
          </cx:tx>
          <cx:dataLabels pos="r"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15</xdr:row>
      <xdr:rowOff>38100</xdr:rowOff>
    </xdr:from>
    <xdr:to>
      <xdr:col>8</xdr:col>
      <xdr:colOff>358140</xdr:colOff>
      <xdr:row>43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05CBB9-1EAE-AC3E-096D-597630B6DB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0960" y="3009900"/>
              <a:ext cx="5295900" cy="515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6</xdr:row>
      <xdr:rowOff>160020</xdr:rowOff>
    </xdr:from>
    <xdr:to>
      <xdr:col>15</xdr:col>
      <xdr:colOff>266700</xdr:colOff>
      <xdr:row>35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7D74376-B4F0-40CE-A2E6-BEE1787867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0720" y="1866900"/>
              <a:ext cx="5295900" cy="515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6</xdr:row>
      <xdr:rowOff>121920</xdr:rowOff>
    </xdr:from>
    <xdr:to>
      <xdr:col>8</xdr:col>
      <xdr:colOff>464820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1E9F8C4-E085-16A2-4948-009094D96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0" y="1828800"/>
              <a:ext cx="5532120" cy="5212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D62C-3593-470B-B595-3EF7354ED96D}">
  <dimension ref="A1:G63"/>
  <sheetViews>
    <sheetView workbookViewId="0">
      <pane xSplit="7" ySplit="11" topLeftCell="H12" activePane="bottomRight" state="frozen"/>
      <selection pane="topRight" activeCell="H1" sqref="H1"/>
      <selection pane="bottomLeft" activeCell="A12" sqref="A12"/>
      <selection pane="bottomRight"/>
    </sheetView>
  </sheetViews>
  <sheetFormatPr defaultRowHeight="14.4" x14ac:dyDescent="0.3"/>
  <cols>
    <col min="1" max="1" width="18.88671875" style="5" customWidth="1"/>
    <col min="2" max="2" width="12.6640625" style="5" customWidth="1"/>
    <col min="3" max="3" width="11.44140625" style="5" customWidth="1"/>
    <col min="4" max="4" width="17" style="5" customWidth="1"/>
    <col min="5" max="5" width="13.21875" style="5" customWidth="1"/>
    <col min="6" max="6" width="12.44140625" style="5" customWidth="1"/>
    <col min="7" max="7" width="15.44140625" style="5" customWidth="1"/>
  </cols>
  <sheetData>
    <row r="1" spans="1:7" ht="41.4" x14ac:dyDescent="0.3">
      <c r="A1" s="7" t="s">
        <v>0</v>
      </c>
      <c r="B1" s="7" t="s">
        <v>1</v>
      </c>
      <c r="C1" s="7" t="s">
        <v>2</v>
      </c>
      <c r="D1" s="7" t="s">
        <v>75</v>
      </c>
      <c r="E1" s="7" t="s">
        <v>3</v>
      </c>
      <c r="F1" s="7" t="s">
        <v>69</v>
      </c>
      <c r="G1" s="7" t="s">
        <v>4</v>
      </c>
    </row>
    <row r="2" spans="1:7" x14ac:dyDescent="0.3">
      <c r="A2" s="5" t="s">
        <v>5</v>
      </c>
      <c r="B2" s="5" t="s">
        <v>58</v>
      </c>
      <c r="C2" s="6">
        <v>280000</v>
      </c>
      <c r="D2" s="5" t="s">
        <v>6</v>
      </c>
      <c r="E2" s="5" t="s">
        <v>7</v>
      </c>
      <c r="F2" s="5">
        <v>5</v>
      </c>
      <c r="G2" s="5" t="s">
        <v>6</v>
      </c>
    </row>
    <row r="3" spans="1:7" x14ac:dyDescent="0.3">
      <c r="A3" s="5" t="s">
        <v>8</v>
      </c>
      <c r="B3" s="5" t="s">
        <v>9</v>
      </c>
      <c r="C3" s="6">
        <v>86000</v>
      </c>
      <c r="D3" s="5" t="s">
        <v>70</v>
      </c>
      <c r="E3" s="5" t="s">
        <v>10</v>
      </c>
      <c r="F3" s="5">
        <v>5</v>
      </c>
      <c r="G3" s="5" t="s">
        <v>70</v>
      </c>
    </row>
    <row r="4" spans="1:7" x14ac:dyDescent="0.3">
      <c r="A4" s="5" t="s">
        <v>11</v>
      </c>
      <c r="B4" s="5" t="s">
        <v>12</v>
      </c>
      <c r="C4" s="6">
        <v>85000</v>
      </c>
      <c r="D4" s="5" t="s">
        <v>13</v>
      </c>
      <c r="E4" s="5" t="s">
        <v>10</v>
      </c>
      <c r="F4" s="5">
        <v>3</v>
      </c>
      <c r="G4" s="5" t="s">
        <v>13</v>
      </c>
    </row>
    <row r="5" spans="1:7" x14ac:dyDescent="0.3">
      <c r="A5" s="5" t="s">
        <v>14</v>
      </c>
      <c r="B5" s="5" t="s">
        <v>9</v>
      </c>
      <c r="C5" s="6">
        <v>90200</v>
      </c>
      <c r="D5" s="5" t="s">
        <v>6</v>
      </c>
      <c r="E5" s="5" t="s">
        <v>10</v>
      </c>
      <c r="F5" s="5">
        <v>5</v>
      </c>
      <c r="G5" s="5" t="s">
        <v>6</v>
      </c>
    </row>
    <row r="6" spans="1:7" x14ac:dyDescent="0.3">
      <c r="A6" s="5" t="s">
        <v>15</v>
      </c>
      <c r="B6" s="5" t="s">
        <v>9</v>
      </c>
      <c r="C6" s="6">
        <v>112000</v>
      </c>
      <c r="D6" s="5" t="s">
        <v>6</v>
      </c>
      <c r="E6" s="5" t="s">
        <v>7</v>
      </c>
      <c r="F6" s="5">
        <v>5</v>
      </c>
      <c r="G6" s="5" t="s">
        <v>6</v>
      </c>
    </row>
    <row r="7" spans="1:7" x14ac:dyDescent="0.3">
      <c r="A7" s="5" t="s">
        <v>16</v>
      </c>
      <c r="B7" s="5" t="s">
        <v>12</v>
      </c>
      <c r="C7" s="6">
        <v>95000</v>
      </c>
      <c r="D7" s="5" t="s">
        <v>6</v>
      </c>
      <c r="E7" s="5" t="s">
        <v>7</v>
      </c>
      <c r="F7" s="5">
        <v>3</v>
      </c>
      <c r="G7" s="5" t="s">
        <v>6</v>
      </c>
    </row>
    <row r="8" spans="1:7" x14ac:dyDescent="0.3">
      <c r="A8" s="5" t="s">
        <v>17</v>
      </c>
      <c r="B8" s="5" t="s">
        <v>12</v>
      </c>
      <c r="C8" s="6">
        <v>75000</v>
      </c>
      <c r="D8" s="5" t="s">
        <v>6</v>
      </c>
      <c r="E8" s="5" t="s">
        <v>7</v>
      </c>
      <c r="F8" s="5">
        <v>4</v>
      </c>
      <c r="G8" s="5" t="s">
        <v>6</v>
      </c>
    </row>
    <row r="9" spans="1:7" x14ac:dyDescent="0.3">
      <c r="A9" s="5" t="s">
        <v>18</v>
      </c>
      <c r="B9" s="5" t="s">
        <v>12</v>
      </c>
      <c r="C9" s="6">
        <v>85000</v>
      </c>
      <c r="D9" s="5" t="s">
        <v>13</v>
      </c>
      <c r="E9" s="5" t="s">
        <v>7</v>
      </c>
      <c r="F9" s="5">
        <v>3</v>
      </c>
      <c r="G9" s="5" t="s">
        <v>13</v>
      </c>
    </row>
    <row r="10" spans="1:7" x14ac:dyDescent="0.3">
      <c r="A10" s="5" t="s">
        <v>19</v>
      </c>
      <c r="B10" s="5" t="s">
        <v>58</v>
      </c>
      <c r="C10" s="6">
        <v>95000</v>
      </c>
      <c r="D10" s="5" t="s">
        <v>13</v>
      </c>
      <c r="E10" s="5" t="s">
        <v>7</v>
      </c>
      <c r="F10" s="5">
        <v>2</v>
      </c>
      <c r="G10" s="5" t="s">
        <v>13</v>
      </c>
    </row>
    <row r="11" spans="1:7" x14ac:dyDescent="0.3">
      <c r="A11" s="5" t="s">
        <v>20</v>
      </c>
      <c r="B11" s="5" t="s">
        <v>58</v>
      </c>
      <c r="C11" s="6">
        <v>95000</v>
      </c>
      <c r="D11" s="5" t="s">
        <v>13</v>
      </c>
      <c r="E11" s="5" t="s">
        <v>10</v>
      </c>
      <c r="F11" s="5">
        <v>5</v>
      </c>
      <c r="G11" s="5" t="s">
        <v>13</v>
      </c>
    </row>
    <row r="12" spans="1:7" x14ac:dyDescent="0.3">
      <c r="A12" s="5" t="s">
        <v>21</v>
      </c>
      <c r="B12" s="5" t="s">
        <v>58</v>
      </c>
      <c r="C12" s="6">
        <v>120000</v>
      </c>
      <c r="D12" s="5" t="s">
        <v>6</v>
      </c>
      <c r="E12" s="5" t="s">
        <v>7</v>
      </c>
      <c r="F12" s="5">
        <v>5</v>
      </c>
      <c r="G12" s="5" t="s">
        <v>6</v>
      </c>
    </row>
    <row r="13" spans="1:7" x14ac:dyDescent="0.3">
      <c r="A13" s="5" t="s">
        <v>22</v>
      </c>
      <c r="B13" s="5" t="s">
        <v>12</v>
      </c>
      <c r="C13" s="6">
        <v>45000</v>
      </c>
      <c r="D13" s="5" t="s">
        <v>6</v>
      </c>
      <c r="E13" s="5" t="s">
        <v>7</v>
      </c>
      <c r="F13" s="5">
        <v>5</v>
      </c>
      <c r="G13" s="5" t="s">
        <v>6</v>
      </c>
    </row>
    <row r="14" spans="1:7" x14ac:dyDescent="0.3">
      <c r="A14" s="5" t="s">
        <v>23</v>
      </c>
      <c r="B14" s="5" t="s">
        <v>58</v>
      </c>
      <c r="C14" s="6">
        <v>130000</v>
      </c>
      <c r="D14" s="5" t="s">
        <v>13</v>
      </c>
      <c r="E14" s="5" t="s">
        <v>10</v>
      </c>
      <c r="F14" s="5">
        <v>5</v>
      </c>
      <c r="G14" s="5" t="s">
        <v>13</v>
      </c>
    </row>
    <row r="15" spans="1:7" x14ac:dyDescent="0.3">
      <c r="A15" s="5" t="s">
        <v>24</v>
      </c>
      <c r="B15" s="5" t="s">
        <v>9</v>
      </c>
      <c r="C15" s="6">
        <v>100000</v>
      </c>
      <c r="D15" s="5" t="s">
        <v>70</v>
      </c>
      <c r="E15" s="5" t="s">
        <v>10</v>
      </c>
      <c r="F15" s="5">
        <v>5</v>
      </c>
      <c r="G15" s="5" t="s">
        <v>70</v>
      </c>
    </row>
    <row r="16" spans="1:7" x14ac:dyDescent="0.3">
      <c r="A16" s="5" t="s">
        <v>25</v>
      </c>
      <c r="B16" s="5" t="s">
        <v>9</v>
      </c>
      <c r="C16" s="6">
        <v>92000</v>
      </c>
      <c r="D16" s="5" t="s">
        <v>70</v>
      </c>
      <c r="E16" s="5" t="s">
        <v>10</v>
      </c>
      <c r="F16" s="5">
        <v>5</v>
      </c>
      <c r="G16" s="5" t="s">
        <v>70</v>
      </c>
    </row>
    <row r="17" spans="1:7" x14ac:dyDescent="0.3">
      <c r="A17" s="5" t="s">
        <v>26</v>
      </c>
      <c r="B17" s="5" t="s">
        <v>9</v>
      </c>
      <c r="C17" s="6">
        <v>60000</v>
      </c>
      <c r="D17" s="5" t="s">
        <v>70</v>
      </c>
      <c r="E17" s="5" t="s">
        <v>7</v>
      </c>
      <c r="F17" s="5">
        <v>5</v>
      </c>
      <c r="G17" s="5" t="s">
        <v>13</v>
      </c>
    </row>
    <row r="18" spans="1:7" x14ac:dyDescent="0.3">
      <c r="A18" s="5" t="s">
        <v>27</v>
      </c>
      <c r="B18" s="5" t="s">
        <v>9</v>
      </c>
      <c r="C18" s="6">
        <v>105000</v>
      </c>
      <c r="D18" s="5" t="s">
        <v>70</v>
      </c>
      <c r="E18" s="5" t="s">
        <v>7</v>
      </c>
      <c r="F18" s="5">
        <v>5</v>
      </c>
      <c r="G18" s="5" t="s">
        <v>70</v>
      </c>
    </row>
    <row r="19" spans="1:7" x14ac:dyDescent="0.3">
      <c r="A19" s="5" t="s">
        <v>28</v>
      </c>
      <c r="B19" s="5" t="s">
        <v>9</v>
      </c>
      <c r="C19" s="6">
        <v>110000</v>
      </c>
      <c r="D19" s="5" t="s">
        <v>6</v>
      </c>
      <c r="E19" s="5" t="s">
        <v>7</v>
      </c>
      <c r="F19" s="5">
        <v>5</v>
      </c>
      <c r="G19" s="5" t="s">
        <v>6</v>
      </c>
    </row>
    <row r="20" spans="1:7" x14ac:dyDescent="0.3">
      <c r="A20" s="5" t="s">
        <v>29</v>
      </c>
      <c r="B20" s="5" t="s">
        <v>9</v>
      </c>
      <c r="C20" s="6">
        <v>94000</v>
      </c>
      <c r="D20" s="5" t="s">
        <v>6</v>
      </c>
      <c r="E20" s="5" t="s">
        <v>7</v>
      </c>
      <c r="F20" s="5">
        <v>5</v>
      </c>
      <c r="G20" s="5" t="s">
        <v>6</v>
      </c>
    </row>
    <row r="21" spans="1:7" x14ac:dyDescent="0.3">
      <c r="A21" s="5" t="s">
        <v>30</v>
      </c>
      <c r="B21" s="5" t="s">
        <v>12</v>
      </c>
      <c r="C21" s="6">
        <v>70000</v>
      </c>
      <c r="D21" s="5" t="s">
        <v>13</v>
      </c>
      <c r="E21" s="5" t="s">
        <v>7</v>
      </c>
      <c r="F21" s="5">
        <v>4</v>
      </c>
      <c r="G21" s="5" t="s">
        <v>13</v>
      </c>
    </row>
    <row r="22" spans="1:7" x14ac:dyDescent="0.3">
      <c r="A22" s="5" t="s">
        <v>31</v>
      </c>
      <c r="B22" s="5" t="s">
        <v>12</v>
      </c>
      <c r="C22" s="6">
        <v>80000</v>
      </c>
      <c r="D22" s="5" t="s">
        <v>13</v>
      </c>
      <c r="E22" s="5" t="s">
        <v>7</v>
      </c>
      <c r="F22" s="5">
        <v>4</v>
      </c>
      <c r="G22" s="5" t="s">
        <v>13</v>
      </c>
    </row>
    <row r="23" spans="1:7" x14ac:dyDescent="0.3">
      <c r="A23" s="5" t="s">
        <v>32</v>
      </c>
      <c r="B23" s="5" t="s">
        <v>12</v>
      </c>
      <c r="C23" s="6">
        <v>80000</v>
      </c>
      <c r="D23" s="5" t="s">
        <v>13</v>
      </c>
      <c r="E23" s="5" t="s">
        <v>7</v>
      </c>
      <c r="F23" s="5">
        <v>2</v>
      </c>
      <c r="G23" s="5" t="s">
        <v>13</v>
      </c>
    </row>
    <row r="24" spans="1:7" x14ac:dyDescent="0.3">
      <c r="A24" s="5" t="s">
        <v>33</v>
      </c>
      <c r="B24" s="5" t="s">
        <v>12</v>
      </c>
      <c r="C24" s="6">
        <v>40000</v>
      </c>
      <c r="D24" s="5" t="s">
        <v>13</v>
      </c>
      <c r="E24" s="5" t="s">
        <v>7</v>
      </c>
      <c r="F24" s="5">
        <v>0</v>
      </c>
      <c r="G24" s="5" t="s">
        <v>13</v>
      </c>
    </row>
    <row r="25" spans="1:7" x14ac:dyDescent="0.3">
      <c r="A25" s="5" t="s">
        <v>34</v>
      </c>
      <c r="B25" s="5" t="s">
        <v>58</v>
      </c>
      <c r="C25" s="6">
        <v>290000</v>
      </c>
      <c r="D25" s="5" t="s">
        <v>13</v>
      </c>
      <c r="E25" s="5" t="s">
        <v>7</v>
      </c>
      <c r="F25" s="5">
        <v>5</v>
      </c>
      <c r="G25" s="5" t="s">
        <v>13</v>
      </c>
    </row>
    <row r="26" spans="1:7" x14ac:dyDescent="0.3">
      <c r="A26" s="5" t="s">
        <v>71</v>
      </c>
      <c r="B26" s="5" t="s">
        <v>58</v>
      </c>
      <c r="C26" s="6">
        <v>160000</v>
      </c>
      <c r="D26" s="5" t="s">
        <v>13</v>
      </c>
      <c r="E26" s="5" t="s">
        <v>7</v>
      </c>
      <c r="F26" s="5">
        <v>3</v>
      </c>
      <c r="G26" s="5" t="s">
        <v>13</v>
      </c>
    </row>
    <row r="27" spans="1:7" x14ac:dyDescent="0.3">
      <c r="A27" s="5" t="s">
        <v>35</v>
      </c>
      <c r="B27" s="5" t="s">
        <v>58</v>
      </c>
      <c r="C27" s="6">
        <v>330000</v>
      </c>
      <c r="D27" s="5" t="s">
        <v>13</v>
      </c>
      <c r="E27" s="5" t="s">
        <v>7</v>
      </c>
      <c r="F27" s="5">
        <v>10</v>
      </c>
      <c r="G27" s="5" t="s">
        <v>13</v>
      </c>
    </row>
    <row r="28" spans="1:7" x14ac:dyDescent="0.3">
      <c r="A28" s="5" t="s">
        <v>36</v>
      </c>
      <c r="B28" s="5" t="s">
        <v>58</v>
      </c>
      <c r="C28" s="6">
        <v>70000</v>
      </c>
      <c r="D28" s="5" t="s">
        <v>70</v>
      </c>
      <c r="E28" s="5" t="s">
        <v>10</v>
      </c>
      <c r="F28" s="5">
        <v>5</v>
      </c>
      <c r="G28" s="5" t="s">
        <v>70</v>
      </c>
    </row>
    <row r="29" spans="1:7" x14ac:dyDescent="0.3">
      <c r="A29" s="5" t="s">
        <v>37</v>
      </c>
      <c r="B29" s="5" t="s">
        <v>58</v>
      </c>
      <c r="C29" s="6">
        <v>115000</v>
      </c>
      <c r="D29" s="5" t="s">
        <v>70</v>
      </c>
      <c r="E29" s="5" t="s">
        <v>7</v>
      </c>
      <c r="F29" s="5">
        <v>5</v>
      </c>
      <c r="G29" s="5" t="s">
        <v>70</v>
      </c>
    </row>
    <row r="30" spans="1:7" x14ac:dyDescent="0.3">
      <c r="A30" s="5" t="s">
        <v>38</v>
      </c>
      <c r="B30" s="5" t="s">
        <v>58</v>
      </c>
      <c r="C30" s="6">
        <v>117000</v>
      </c>
      <c r="D30" s="5" t="s">
        <v>70</v>
      </c>
      <c r="E30" s="5" t="s">
        <v>39</v>
      </c>
      <c r="F30" s="5">
        <v>5</v>
      </c>
      <c r="G30" s="5" t="s">
        <v>70</v>
      </c>
    </row>
    <row r="31" spans="1:7" x14ac:dyDescent="0.3">
      <c r="A31" s="5" t="s">
        <v>40</v>
      </c>
      <c r="B31" s="5" t="s">
        <v>9</v>
      </c>
      <c r="C31" s="6">
        <v>90000</v>
      </c>
      <c r="D31" s="5" t="s">
        <v>70</v>
      </c>
      <c r="E31" s="5" t="s">
        <v>39</v>
      </c>
      <c r="F31" s="5">
        <v>0</v>
      </c>
      <c r="G31" s="5" t="s">
        <v>70</v>
      </c>
    </row>
    <row r="32" spans="1:7" x14ac:dyDescent="0.3">
      <c r="A32" s="5" t="s">
        <v>41</v>
      </c>
      <c r="B32" s="5" t="s">
        <v>12</v>
      </c>
      <c r="C32" s="6">
        <v>80000</v>
      </c>
      <c r="D32" s="5" t="s">
        <v>6</v>
      </c>
      <c r="E32" s="5" t="s">
        <v>7</v>
      </c>
      <c r="F32" s="5">
        <v>5</v>
      </c>
      <c r="G32" s="5" t="s">
        <v>13</v>
      </c>
    </row>
    <row r="33" spans="1:7" x14ac:dyDescent="0.3">
      <c r="A33" s="5" t="s">
        <v>42</v>
      </c>
      <c r="B33" s="5" t="s">
        <v>9</v>
      </c>
      <c r="C33" s="6">
        <v>90000</v>
      </c>
      <c r="D33" s="5" t="s">
        <v>6</v>
      </c>
      <c r="E33" s="5" t="s">
        <v>7</v>
      </c>
      <c r="F33" s="5">
        <v>12</v>
      </c>
      <c r="G33" s="5" t="s">
        <v>13</v>
      </c>
    </row>
    <row r="34" spans="1:7" x14ac:dyDescent="0.3">
      <c r="A34" s="5" t="s">
        <v>43</v>
      </c>
      <c r="B34" s="5" t="s">
        <v>9</v>
      </c>
      <c r="C34" s="6">
        <v>88000</v>
      </c>
      <c r="D34" s="5" t="s">
        <v>6</v>
      </c>
      <c r="E34" s="5" t="s">
        <v>44</v>
      </c>
      <c r="F34" s="5">
        <v>5</v>
      </c>
      <c r="G34" s="5" t="s">
        <v>13</v>
      </c>
    </row>
    <row r="35" spans="1:7" x14ac:dyDescent="0.3">
      <c r="A35" s="5" t="s">
        <v>45</v>
      </c>
      <c r="B35" s="5" t="s">
        <v>9</v>
      </c>
      <c r="C35" s="6">
        <v>76000</v>
      </c>
      <c r="D35" s="5" t="s">
        <v>6</v>
      </c>
      <c r="E35" s="5" t="s">
        <v>44</v>
      </c>
      <c r="F35" s="5">
        <v>5</v>
      </c>
      <c r="G35" s="5" t="s">
        <v>13</v>
      </c>
    </row>
    <row r="36" spans="1:7" x14ac:dyDescent="0.3">
      <c r="A36" s="5" t="s">
        <v>46</v>
      </c>
      <c r="B36" s="5" t="s">
        <v>12</v>
      </c>
      <c r="C36" s="6">
        <v>75000</v>
      </c>
      <c r="D36" s="5" t="s">
        <v>6</v>
      </c>
      <c r="E36" s="5" t="s">
        <v>10</v>
      </c>
      <c r="F36" s="5">
        <v>2</v>
      </c>
      <c r="G36" s="5" t="s">
        <v>13</v>
      </c>
    </row>
    <row r="37" spans="1:7" x14ac:dyDescent="0.3">
      <c r="A37" s="5" t="s">
        <v>47</v>
      </c>
      <c r="B37" s="5" t="s">
        <v>12</v>
      </c>
      <c r="C37" s="6">
        <v>65000</v>
      </c>
      <c r="D37" s="5" t="s">
        <v>6</v>
      </c>
      <c r="E37" s="5" t="s">
        <v>10</v>
      </c>
      <c r="F37" s="5">
        <v>2</v>
      </c>
      <c r="G37" s="5" t="s">
        <v>6</v>
      </c>
    </row>
    <row r="38" spans="1:7" x14ac:dyDescent="0.3">
      <c r="A38" s="5" t="s">
        <v>48</v>
      </c>
      <c r="B38" s="5" t="s">
        <v>12</v>
      </c>
      <c r="C38" s="6">
        <v>75000</v>
      </c>
      <c r="D38" s="5" t="s">
        <v>6</v>
      </c>
      <c r="E38" s="5" t="s">
        <v>10</v>
      </c>
      <c r="F38" s="5">
        <v>4</v>
      </c>
      <c r="G38" s="5" t="s">
        <v>6</v>
      </c>
    </row>
    <row r="39" spans="1:7" x14ac:dyDescent="0.3">
      <c r="A39" s="5" t="s">
        <v>49</v>
      </c>
      <c r="B39" s="5" t="s">
        <v>12</v>
      </c>
      <c r="C39" s="6">
        <v>70000</v>
      </c>
      <c r="D39" s="5" t="s">
        <v>6</v>
      </c>
      <c r="E39" s="5" t="s">
        <v>7</v>
      </c>
      <c r="F39" s="5">
        <v>3</v>
      </c>
      <c r="G39" s="5" t="s">
        <v>6</v>
      </c>
    </row>
    <row r="40" spans="1:7" x14ac:dyDescent="0.3">
      <c r="A40" s="5" t="s">
        <v>50</v>
      </c>
      <c r="B40" s="5" t="s">
        <v>12</v>
      </c>
      <c r="C40" s="6">
        <v>80000</v>
      </c>
      <c r="D40" s="5" t="s">
        <v>6</v>
      </c>
      <c r="E40" s="5" t="s">
        <v>10</v>
      </c>
      <c r="F40" s="5">
        <v>2</v>
      </c>
      <c r="G40" s="5" t="s">
        <v>6</v>
      </c>
    </row>
    <row r="41" spans="1:7" x14ac:dyDescent="0.3">
      <c r="A41" s="5" t="s">
        <v>51</v>
      </c>
      <c r="B41" s="5" t="s">
        <v>58</v>
      </c>
      <c r="C41" s="6">
        <v>95000</v>
      </c>
      <c r="D41" s="5" t="s">
        <v>52</v>
      </c>
      <c r="E41" s="5" t="s">
        <v>7</v>
      </c>
      <c r="F41" s="5">
        <v>3</v>
      </c>
      <c r="G41" s="5" t="s">
        <v>70</v>
      </c>
    </row>
    <row r="42" spans="1:7" x14ac:dyDescent="0.3">
      <c r="A42" s="5" t="s">
        <v>53</v>
      </c>
      <c r="B42" s="5" t="s">
        <v>58</v>
      </c>
      <c r="C42" s="6">
        <v>95000</v>
      </c>
      <c r="D42" s="5" t="s">
        <v>52</v>
      </c>
      <c r="E42" s="5" t="s">
        <v>7</v>
      </c>
      <c r="F42" s="5">
        <v>4</v>
      </c>
      <c r="G42" s="5" t="s">
        <v>70</v>
      </c>
    </row>
    <row r="43" spans="1:7" x14ac:dyDescent="0.3">
      <c r="A43" s="5" t="s">
        <v>54</v>
      </c>
      <c r="B43" s="5" t="s">
        <v>58</v>
      </c>
      <c r="C43" s="6">
        <v>60000</v>
      </c>
      <c r="D43" s="5" t="s">
        <v>52</v>
      </c>
      <c r="E43" s="5" t="s">
        <v>10</v>
      </c>
      <c r="F43" s="5">
        <v>6</v>
      </c>
      <c r="G43" s="5" t="s">
        <v>6</v>
      </c>
    </row>
    <row r="44" spans="1:7" x14ac:dyDescent="0.3">
      <c r="A44" s="5" t="s">
        <v>55</v>
      </c>
      <c r="B44" s="5" t="s">
        <v>58</v>
      </c>
      <c r="C44" s="6">
        <v>70000</v>
      </c>
      <c r="D44" s="5" t="s">
        <v>70</v>
      </c>
      <c r="E44" s="5" t="s">
        <v>10</v>
      </c>
      <c r="F44" s="5">
        <v>2</v>
      </c>
      <c r="G44" s="5" t="s">
        <v>6</v>
      </c>
    </row>
    <row r="45" spans="1:7" x14ac:dyDescent="0.3">
      <c r="A45" s="5" t="s">
        <v>56</v>
      </c>
      <c r="B45" s="5" t="s">
        <v>12</v>
      </c>
      <c r="C45" s="6">
        <v>85000</v>
      </c>
      <c r="D45" s="5" t="s">
        <v>70</v>
      </c>
      <c r="E45" s="5" t="s">
        <v>7</v>
      </c>
      <c r="F45" s="5">
        <v>3</v>
      </c>
      <c r="G45" s="5" t="s">
        <v>13</v>
      </c>
    </row>
    <row r="46" spans="1:7" x14ac:dyDescent="0.3">
      <c r="A46" s="5" t="s">
        <v>57</v>
      </c>
      <c r="B46" s="5" t="s">
        <v>9</v>
      </c>
      <c r="C46" s="6">
        <v>89000</v>
      </c>
      <c r="D46" s="5" t="s">
        <v>52</v>
      </c>
      <c r="E46" s="5" t="s">
        <v>7</v>
      </c>
      <c r="F46" s="5">
        <v>4</v>
      </c>
      <c r="G46" s="5" t="s">
        <v>13</v>
      </c>
    </row>
    <row r="47" spans="1:7" x14ac:dyDescent="0.3">
      <c r="A47" s="5" t="s">
        <v>72</v>
      </c>
      <c r="B47" s="5" t="s">
        <v>58</v>
      </c>
      <c r="C47" s="8">
        <v>190000</v>
      </c>
      <c r="D47" s="5" t="s">
        <v>13</v>
      </c>
      <c r="E47" s="5" t="s">
        <v>7</v>
      </c>
      <c r="F47" s="5">
        <v>8</v>
      </c>
      <c r="G47" s="5" t="s">
        <v>13</v>
      </c>
    </row>
    <row r="48" spans="1:7" x14ac:dyDescent="0.3">
      <c r="A48" s="5" t="s">
        <v>73</v>
      </c>
      <c r="B48" s="5" t="s">
        <v>9</v>
      </c>
      <c r="C48" s="6">
        <v>75000</v>
      </c>
      <c r="D48" s="5" t="s">
        <v>70</v>
      </c>
      <c r="E48" s="5" t="s">
        <v>10</v>
      </c>
      <c r="F48" s="5">
        <v>3</v>
      </c>
      <c r="G48" s="5" t="s">
        <v>70</v>
      </c>
    </row>
    <row r="49" spans="1:7" x14ac:dyDescent="0.3">
      <c r="A49" s="5" t="s">
        <v>74</v>
      </c>
      <c r="B49" s="5" t="s">
        <v>9</v>
      </c>
      <c r="C49" s="6">
        <v>81000</v>
      </c>
      <c r="D49" s="9" t="s">
        <v>52</v>
      </c>
      <c r="E49" s="5" t="s">
        <v>44</v>
      </c>
      <c r="F49" s="5">
        <v>3</v>
      </c>
      <c r="G49" s="5" t="s">
        <v>6</v>
      </c>
    </row>
    <row r="50" spans="1:7" x14ac:dyDescent="0.3">
      <c r="C50" s="8"/>
      <c r="D50" s="9"/>
      <c r="F50" s="9"/>
    </row>
    <row r="51" spans="1:7" x14ac:dyDescent="0.3">
      <c r="C51" s="8"/>
      <c r="D51" s="9"/>
      <c r="F51" s="9"/>
    </row>
    <row r="52" spans="1:7" x14ac:dyDescent="0.3">
      <c r="D52" s="9"/>
      <c r="F52" s="9"/>
    </row>
    <row r="53" spans="1:7" x14ac:dyDescent="0.3">
      <c r="D53" s="9"/>
      <c r="F53" s="9"/>
    </row>
    <row r="54" spans="1:7" x14ac:dyDescent="0.3">
      <c r="D54" s="9"/>
      <c r="F54" s="9"/>
    </row>
    <row r="55" spans="1:7" x14ac:dyDescent="0.3">
      <c r="D55" s="9"/>
      <c r="F55" s="9"/>
    </row>
    <row r="56" spans="1:7" x14ac:dyDescent="0.3">
      <c r="D56" s="8"/>
      <c r="F56" s="9"/>
    </row>
    <row r="57" spans="1:7" x14ac:dyDescent="0.3">
      <c r="D57" s="9"/>
      <c r="F57" s="9"/>
    </row>
    <row r="58" spans="1:7" x14ac:dyDescent="0.3">
      <c r="D58" s="9"/>
      <c r="F58" s="9"/>
    </row>
    <row r="59" spans="1:7" x14ac:dyDescent="0.3">
      <c r="D59" s="9"/>
      <c r="F59" s="9"/>
    </row>
    <row r="60" spans="1:7" x14ac:dyDescent="0.3">
      <c r="D60" s="9"/>
      <c r="F60" s="9"/>
    </row>
    <row r="61" spans="1:7" x14ac:dyDescent="0.3">
      <c r="D61" s="9"/>
      <c r="F61" s="9"/>
    </row>
    <row r="62" spans="1:7" x14ac:dyDescent="0.3">
      <c r="D62" s="9"/>
      <c r="F62" s="9"/>
    </row>
    <row r="63" spans="1:7" x14ac:dyDescent="0.3">
      <c r="C63" s="8"/>
      <c r="F6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FAA3-BB24-4611-8D1F-2476DA6E916B}">
  <dimension ref="A1:H18"/>
  <sheetViews>
    <sheetView workbookViewId="0">
      <selection activeCell="H6" sqref="H6"/>
    </sheetView>
  </sheetViews>
  <sheetFormatPr defaultRowHeight="14.4" x14ac:dyDescent="0.3"/>
  <cols>
    <col min="1" max="2" width="11.33203125" customWidth="1"/>
    <col min="3" max="3" width="14.44140625" customWidth="1"/>
    <col min="5" max="5" width="17.33203125" customWidth="1"/>
    <col min="6" max="6" width="21.21875" customWidth="1"/>
    <col min="7" max="7" width="17.77734375" customWidth="1"/>
    <col min="8" max="8" width="21.44140625" customWidth="1"/>
  </cols>
  <sheetData>
    <row r="1" spans="1:8" ht="17.399999999999999" x14ac:dyDescent="0.3">
      <c r="A1" s="24" t="s">
        <v>2</v>
      </c>
      <c r="B1" s="24"/>
      <c r="C1" s="24"/>
      <c r="E1" s="25" t="s">
        <v>68</v>
      </c>
      <c r="F1" s="26"/>
      <c r="G1" s="26"/>
      <c r="H1" s="27"/>
    </row>
    <row r="2" spans="1:8" ht="17.399999999999999" x14ac:dyDescent="0.3">
      <c r="A2" s="11" t="s">
        <v>58</v>
      </c>
      <c r="B2" s="11" t="s">
        <v>9</v>
      </c>
      <c r="C2" s="11" t="s">
        <v>12</v>
      </c>
      <c r="E2" s="19" t="s">
        <v>1</v>
      </c>
      <c r="F2" s="19" t="s">
        <v>76</v>
      </c>
      <c r="G2" s="19" t="s">
        <v>77</v>
      </c>
      <c r="H2" s="19" t="s">
        <v>78</v>
      </c>
    </row>
    <row r="3" spans="1:8" ht="23.4" customHeight="1" x14ac:dyDescent="0.3">
      <c r="A3" s="6">
        <v>280000</v>
      </c>
      <c r="B3" s="6">
        <v>86000</v>
      </c>
      <c r="C3" s="6">
        <v>85000</v>
      </c>
      <c r="E3" s="18" t="s">
        <v>58</v>
      </c>
      <c r="F3" s="20">
        <f>AVERAGE(A3:A18)</f>
        <v>144500</v>
      </c>
      <c r="G3" s="20">
        <f>MEDIAN(A3:A18)</f>
        <v>116000</v>
      </c>
      <c r="H3" s="20">
        <f>MODE(A3:A18)</f>
        <v>95000</v>
      </c>
    </row>
    <row r="4" spans="1:8" ht="25.2" customHeight="1" x14ac:dyDescent="0.3">
      <c r="A4" s="16">
        <v>95000</v>
      </c>
      <c r="B4" s="6">
        <v>90200</v>
      </c>
      <c r="C4" s="6">
        <v>95000</v>
      </c>
      <c r="E4" s="18" t="s">
        <v>9</v>
      </c>
      <c r="F4" s="20">
        <f>AVERAGE(B3:B18)</f>
        <v>89900</v>
      </c>
      <c r="G4" s="20">
        <f>MEDIAN(B3:B18)</f>
        <v>90100</v>
      </c>
      <c r="H4" s="20">
        <f>MODE(B3:B18)</f>
        <v>90200</v>
      </c>
    </row>
    <row r="5" spans="1:8" ht="24.6" customHeight="1" x14ac:dyDescent="0.3">
      <c r="A5" s="16">
        <v>95000</v>
      </c>
      <c r="B5" s="6">
        <v>112000</v>
      </c>
      <c r="C5" s="6">
        <v>75000</v>
      </c>
      <c r="E5" s="18" t="s">
        <v>12</v>
      </c>
      <c r="F5" s="20">
        <f>AVERAGE(C3:C18)</f>
        <v>74062.5</v>
      </c>
      <c r="G5" s="20">
        <f>MEDIAN(C3:C18)</f>
        <v>77500</v>
      </c>
      <c r="H5" s="20">
        <f>MODE(C3:C18)</f>
        <v>80000</v>
      </c>
    </row>
    <row r="6" spans="1:8" x14ac:dyDescent="0.3">
      <c r="A6" s="16">
        <v>120000</v>
      </c>
      <c r="B6" s="6">
        <v>100000</v>
      </c>
      <c r="C6" s="6">
        <v>85000</v>
      </c>
    </row>
    <row r="7" spans="1:8" x14ac:dyDescent="0.3">
      <c r="A7" s="16">
        <v>130000</v>
      </c>
      <c r="B7" s="6">
        <v>92000</v>
      </c>
      <c r="C7" s="6">
        <v>45000</v>
      </c>
    </row>
    <row r="8" spans="1:8" x14ac:dyDescent="0.3">
      <c r="A8" s="17">
        <v>290000</v>
      </c>
      <c r="B8" s="6">
        <v>60000</v>
      </c>
      <c r="C8" s="6">
        <v>70000</v>
      </c>
    </row>
    <row r="9" spans="1:8" x14ac:dyDescent="0.3">
      <c r="A9" s="16">
        <v>160000</v>
      </c>
      <c r="B9" s="6">
        <v>105000</v>
      </c>
      <c r="C9" s="6">
        <v>80000</v>
      </c>
    </row>
    <row r="10" spans="1:8" x14ac:dyDescent="0.3">
      <c r="A10" s="16">
        <v>330000</v>
      </c>
      <c r="B10" s="6">
        <v>110000</v>
      </c>
      <c r="C10" s="6">
        <v>80000</v>
      </c>
    </row>
    <row r="11" spans="1:8" x14ac:dyDescent="0.3">
      <c r="A11" s="16">
        <v>70000</v>
      </c>
      <c r="B11" s="6">
        <v>94000</v>
      </c>
      <c r="C11" s="6">
        <v>40000</v>
      </c>
    </row>
    <row r="12" spans="1:8" x14ac:dyDescent="0.3">
      <c r="A12" s="17">
        <v>115000</v>
      </c>
      <c r="B12" s="6">
        <v>90200</v>
      </c>
      <c r="C12" s="6">
        <v>80000</v>
      </c>
    </row>
    <row r="13" spans="1:8" x14ac:dyDescent="0.3">
      <c r="A13" s="16">
        <v>117000</v>
      </c>
      <c r="B13" s="6">
        <v>90000</v>
      </c>
      <c r="C13" s="6">
        <v>75000</v>
      </c>
    </row>
    <row r="14" spans="1:8" x14ac:dyDescent="0.3">
      <c r="A14" s="16">
        <v>95000</v>
      </c>
      <c r="B14" s="6">
        <v>88000</v>
      </c>
      <c r="C14" s="6">
        <v>65000</v>
      </c>
    </row>
    <row r="15" spans="1:8" x14ac:dyDescent="0.3">
      <c r="A15" s="16">
        <v>95000</v>
      </c>
      <c r="B15" s="6">
        <v>76000</v>
      </c>
      <c r="C15" s="6">
        <v>75000</v>
      </c>
    </row>
    <row r="16" spans="1:8" x14ac:dyDescent="0.3">
      <c r="A16" s="16">
        <v>60000</v>
      </c>
      <c r="B16" s="6">
        <v>89000</v>
      </c>
      <c r="C16" s="6">
        <v>70000</v>
      </c>
    </row>
    <row r="17" spans="1:3" x14ac:dyDescent="0.3">
      <c r="A17" s="16">
        <v>70000</v>
      </c>
      <c r="B17" s="6">
        <v>75000</v>
      </c>
      <c r="C17" s="6">
        <v>80000</v>
      </c>
    </row>
    <row r="18" spans="1:3" x14ac:dyDescent="0.3">
      <c r="A18" s="6">
        <v>190000</v>
      </c>
      <c r="B18" s="6">
        <v>81000</v>
      </c>
      <c r="C18" s="6">
        <v>85000</v>
      </c>
    </row>
  </sheetData>
  <mergeCells count="2">
    <mergeCell ref="A1:C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8779-F8EC-44AA-AB2F-819C0AA0C1E5}">
  <dimension ref="A1:L20"/>
  <sheetViews>
    <sheetView tabSelected="1" workbookViewId="0">
      <selection activeCell="E10" sqref="E10:E12"/>
    </sheetView>
  </sheetViews>
  <sheetFormatPr defaultRowHeight="14.4" x14ac:dyDescent="0.3"/>
  <cols>
    <col min="1" max="1" width="15.5546875" customWidth="1"/>
    <col min="2" max="2" width="14.33203125" customWidth="1"/>
    <col min="3" max="4" width="14.109375" customWidth="1"/>
    <col min="5" max="5" width="23.88671875" customWidth="1"/>
    <col min="6" max="6" width="17.21875" customWidth="1"/>
    <col min="7" max="7" width="15.6640625" customWidth="1"/>
    <col min="8" max="8" width="18.88671875" customWidth="1"/>
    <col min="10" max="10" width="12.44140625" customWidth="1"/>
    <col min="11" max="11" width="11.33203125" customWidth="1"/>
    <col min="12" max="12" width="13.6640625" customWidth="1"/>
  </cols>
  <sheetData>
    <row r="1" spans="1:12" ht="26.4" customHeight="1" x14ac:dyDescent="0.3">
      <c r="A1" s="24" t="s">
        <v>2</v>
      </c>
      <c r="B1" s="24"/>
      <c r="C1" s="24"/>
      <c r="D1" s="2"/>
      <c r="E1" s="21"/>
      <c r="F1" s="22" t="s">
        <v>58</v>
      </c>
      <c r="G1" s="22" t="s">
        <v>9</v>
      </c>
      <c r="H1" s="22" t="s">
        <v>12</v>
      </c>
      <c r="J1" s="24" t="s">
        <v>2</v>
      </c>
      <c r="K1" s="24"/>
      <c r="L1" s="24"/>
    </row>
    <row r="2" spans="1:12" ht="15.6" x14ac:dyDescent="0.3">
      <c r="A2" s="11" t="s">
        <v>58</v>
      </c>
      <c r="B2" s="11" t="s">
        <v>9</v>
      </c>
      <c r="C2" s="31" t="s">
        <v>12</v>
      </c>
      <c r="D2" s="3"/>
      <c r="E2" s="21" t="s">
        <v>59</v>
      </c>
      <c r="F2" s="21">
        <f>QUARTILE(A3:A18,1)</f>
        <v>95000</v>
      </c>
      <c r="G2" s="21">
        <f>QUARTILE(B3:B18,1)</f>
        <v>84750</v>
      </c>
      <c r="H2" s="21">
        <f>QUARTILE(C3:C18,1)</f>
        <v>70000</v>
      </c>
      <c r="J2" s="11" t="s">
        <v>58</v>
      </c>
      <c r="K2" s="11" t="s">
        <v>9</v>
      </c>
      <c r="L2" s="11" t="s">
        <v>12</v>
      </c>
    </row>
    <row r="3" spans="1:12" ht="15.6" x14ac:dyDescent="0.3">
      <c r="A3" s="6">
        <v>280000</v>
      </c>
      <c r="B3" s="6">
        <v>86000</v>
      </c>
      <c r="C3" s="30">
        <v>85000</v>
      </c>
      <c r="D3" s="4"/>
      <c r="E3" s="21" t="s">
        <v>60</v>
      </c>
      <c r="F3" s="21">
        <f>QUARTILE(A3:A18,3)</f>
        <v>167500</v>
      </c>
      <c r="G3" s="21">
        <f>QUARTILE(B3:B18,3)</f>
        <v>95500</v>
      </c>
      <c r="H3" s="21">
        <f>QUARTILE(C3:C18,3)</f>
        <v>81250</v>
      </c>
      <c r="J3" s="6"/>
      <c r="K3" s="6"/>
      <c r="L3" s="6"/>
    </row>
    <row r="4" spans="1:12" ht="15.6" x14ac:dyDescent="0.3">
      <c r="A4" s="16">
        <v>95000</v>
      </c>
      <c r="B4" s="6">
        <v>90200</v>
      </c>
      <c r="C4" s="30">
        <v>95000</v>
      </c>
      <c r="D4" s="32"/>
      <c r="E4" s="21" t="s">
        <v>61</v>
      </c>
      <c r="F4" s="21">
        <f>F3-F2</f>
        <v>72500</v>
      </c>
      <c r="G4" s="21">
        <f>G3-G2</f>
        <v>10750</v>
      </c>
      <c r="H4" s="21">
        <f>H3-H2</f>
        <v>11250</v>
      </c>
      <c r="J4" s="6"/>
      <c r="K4" s="6"/>
      <c r="L4" s="6"/>
    </row>
    <row r="5" spans="1:12" ht="15.6" x14ac:dyDescent="0.3">
      <c r="A5" s="16">
        <v>95000</v>
      </c>
      <c r="B5" s="6">
        <v>112000</v>
      </c>
      <c r="C5" s="30">
        <v>75000</v>
      </c>
      <c r="D5" s="4"/>
      <c r="E5" s="21" t="s">
        <v>62</v>
      </c>
      <c r="F5" s="21">
        <f>F2-1.5*F4</f>
        <v>-13750</v>
      </c>
      <c r="G5" s="21">
        <f>G2-1.5*G4</f>
        <v>68625</v>
      </c>
      <c r="H5" s="21">
        <f>H2-1.5*H4</f>
        <v>53125</v>
      </c>
      <c r="J5" s="6"/>
      <c r="K5" s="6"/>
      <c r="L5" s="6"/>
    </row>
    <row r="6" spans="1:12" ht="15.6" x14ac:dyDescent="0.3">
      <c r="A6" s="16">
        <v>120000</v>
      </c>
      <c r="B6" s="6">
        <v>100000</v>
      </c>
      <c r="C6" s="30">
        <v>85000</v>
      </c>
      <c r="D6" s="3"/>
      <c r="E6" s="21" t="s">
        <v>63</v>
      </c>
      <c r="F6" s="21">
        <f>F3+1.5*F4</f>
        <v>276250</v>
      </c>
      <c r="G6" s="21">
        <f>G3+1.5*G4</f>
        <v>111625</v>
      </c>
      <c r="H6" s="21">
        <f>H3+1.5*H4</f>
        <v>98125</v>
      </c>
      <c r="J6" s="6"/>
      <c r="K6" s="6"/>
      <c r="L6" s="6"/>
    </row>
    <row r="7" spans="1:12" x14ac:dyDescent="0.3">
      <c r="A7" s="16">
        <v>130000</v>
      </c>
      <c r="B7" s="6">
        <v>92000</v>
      </c>
      <c r="C7" s="30">
        <v>45000</v>
      </c>
      <c r="D7" s="3"/>
      <c r="J7" s="5"/>
      <c r="K7" s="6"/>
      <c r="L7" s="6"/>
    </row>
    <row r="8" spans="1:12" x14ac:dyDescent="0.3">
      <c r="A8" s="17">
        <v>290000</v>
      </c>
      <c r="B8" s="6">
        <v>60000</v>
      </c>
      <c r="C8" s="30">
        <v>70000</v>
      </c>
      <c r="D8" s="3"/>
      <c r="J8" s="6"/>
      <c r="K8" s="5"/>
      <c r="L8" s="6"/>
    </row>
    <row r="9" spans="1:12" x14ac:dyDescent="0.3">
      <c r="A9" s="16">
        <v>160000</v>
      </c>
      <c r="B9" s="6">
        <v>105000</v>
      </c>
      <c r="C9" s="30">
        <v>80000</v>
      </c>
      <c r="D9" s="3"/>
      <c r="J9" s="6"/>
      <c r="K9" s="6"/>
      <c r="L9" s="6"/>
    </row>
    <row r="10" spans="1:12" x14ac:dyDescent="0.3">
      <c r="A10" s="16">
        <v>330000</v>
      </c>
      <c r="B10" s="6">
        <v>110000</v>
      </c>
      <c r="C10" s="30">
        <v>80000</v>
      </c>
      <c r="D10" s="3"/>
      <c r="E10" s="33" t="s">
        <v>80</v>
      </c>
      <c r="J10" s="6"/>
      <c r="K10" s="6"/>
      <c r="L10" s="5"/>
    </row>
    <row r="11" spans="1:12" x14ac:dyDescent="0.3">
      <c r="A11" s="16">
        <v>70000</v>
      </c>
      <c r="B11" s="6">
        <v>94000</v>
      </c>
      <c r="C11" s="30">
        <v>40000</v>
      </c>
      <c r="D11" s="3"/>
      <c r="E11" s="33" t="s">
        <v>81</v>
      </c>
      <c r="J11" s="5"/>
      <c r="K11" s="6"/>
      <c r="L11" s="6"/>
    </row>
    <row r="12" spans="1:12" x14ac:dyDescent="0.3">
      <c r="A12" s="17">
        <v>115000</v>
      </c>
      <c r="B12" s="6">
        <v>90200</v>
      </c>
      <c r="C12" s="30">
        <v>80000</v>
      </c>
      <c r="D12" s="4"/>
      <c r="E12" s="33" t="s">
        <v>82</v>
      </c>
      <c r="J12" s="6"/>
      <c r="K12" s="6"/>
      <c r="L12" s="6"/>
    </row>
    <row r="13" spans="1:12" x14ac:dyDescent="0.3">
      <c r="A13" s="16">
        <v>117000</v>
      </c>
      <c r="B13" s="6">
        <v>90000</v>
      </c>
      <c r="C13" s="30">
        <v>75000</v>
      </c>
      <c r="D13" s="4"/>
      <c r="J13" s="6"/>
      <c r="K13" s="6"/>
      <c r="L13" s="6"/>
    </row>
    <row r="14" spans="1:12" x14ac:dyDescent="0.3">
      <c r="A14" s="16">
        <v>95000</v>
      </c>
      <c r="B14" s="6">
        <v>88000</v>
      </c>
      <c r="C14" s="30">
        <v>65000</v>
      </c>
      <c r="D14" s="4"/>
      <c r="J14" s="6"/>
      <c r="K14" s="6"/>
      <c r="L14" s="6"/>
    </row>
    <row r="15" spans="1:12" x14ac:dyDescent="0.3">
      <c r="A15" s="16">
        <v>95000</v>
      </c>
      <c r="B15" s="6">
        <v>76000</v>
      </c>
      <c r="C15" s="30">
        <v>75000</v>
      </c>
      <c r="D15" s="3"/>
      <c r="J15" s="6"/>
      <c r="K15" s="6"/>
      <c r="L15" s="6"/>
    </row>
    <row r="16" spans="1:12" x14ac:dyDescent="0.3">
      <c r="A16" s="16">
        <v>60000</v>
      </c>
      <c r="B16" s="6">
        <v>89000</v>
      </c>
      <c r="C16" s="30">
        <v>70000</v>
      </c>
      <c r="D16" s="4"/>
      <c r="J16" s="6"/>
      <c r="K16" s="5"/>
      <c r="L16" s="6"/>
    </row>
    <row r="17" spans="1:12" x14ac:dyDescent="0.3">
      <c r="A17" s="16">
        <v>70000</v>
      </c>
      <c r="B17" s="6">
        <v>75000</v>
      </c>
      <c r="C17" s="30">
        <v>80000</v>
      </c>
      <c r="D17" s="1"/>
      <c r="J17" s="5"/>
      <c r="K17" s="5"/>
      <c r="L17" s="6"/>
    </row>
    <row r="18" spans="1:12" x14ac:dyDescent="0.3">
      <c r="A18" s="6">
        <v>190000</v>
      </c>
      <c r="B18" s="6">
        <v>81000</v>
      </c>
      <c r="C18" s="30">
        <v>85000</v>
      </c>
      <c r="J18" s="5"/>
      <c r="K18" s="5"/>
      <c r="L18" s="5"/>
    </row>
    <row r="19" spans="1:12" x14ac:dyDescent="0.3">
      <c r="J19" s="5"/>
      <c r="K19" s="5"/>
      <c r="L19" s="5"/>
    </row>
    <row r="20" spans="1:12" x14ac:dyDescent="0.3">
      <c r="J20" s="5"/>
      <c r="K20" s="5"/>
      <c r="L20" s="5"/>
    </row>
  </sheetData>
  <mergeCells count="2">
    <mergeCell ref="A1:C1"/>
    <mergeCell ref="J1:L1"/>
  </mergeCells>
  <conditionalFormatting sqref="A3:A18">
    <cfRule type="cellIs" dxfId="17" priority="6" operator="notBetween">
      <formula>-13750</formula>
      <formula>276250</formula>
    </cfRule>
  </conditionalFormatting>
  <conditionalFormatting sqref="B3:B18">
    <cfRule type="cellIs" dxfId="16" priority="5" operator="notBetween">
      <formula>68625</formula>
      <formula>111625</formula>
    </cfRule>
  </conditionalFormatting>
  <conditionalFormatting sqref="C2:C18">
    <cfRule type="cellIs" dxfId="15" priority="3" operator="notBetween">
      <formula>53125</formula>
      <formula>98125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7983-86C7-4FBD-B739-EF8CFBAD549C}">
  <dimension ref="A2:M20"/>
  <sheetViews>
    <sheetView workbookViewId="0">
      <selection activeCell="K3" sqref="K3:M20"/>
    </sheetView>
  </sheetViews>
  <sheetFormatPr defaultRowHeight="14.4" x14ac:dyDescent="0.3"/>
  <cols>
    <col min="1" max="1" width="15.33203125" customWidth="1"/>
    <col min="2" max="2" width="14.6640625" customWidth="1"/>
    <col min="3" max="3" width="15.44140625" customWidth="1"/>
    <col min="4" max="4" width="9.77734375" customWidth="1"/>
    <col min="6" max="6" width="11.6640625" customWidth="1"/>
    <col min="7" max="7" width="10.33203125" customWidth="1"/>
    <col min="8" max="8" width="14" customWidth="1"/>
    <col min="11" max="11" width="12.109375" customWidth="1"/>
    <col min="12" max="12" width="11.6640625" customWidth="1"/>
    <col min="13" max="13" width="13.44140625" customWidth="1"/>
  </cols>
  <sheetData>
    <row r="2" spans="1:13" ht="17.399999999999999" x14ac:dyDescent="0.3">
      <c r="A2" s="28" t="s">
        <v>64</v>
      </c>
      <c r="B2" s="28"/>
      <c r="C2" s="28"/>
      <c r="D2" s="15"/>
      <c r="F2" s="29" t="s">
        <v>65</v>
      </c>
      <c r="G2" s="29"/>
      <c r="H2" s="29"/>
      <c r="K2" s="29" t="s">
        <v>66</v>
      </c>
      <c r="L2" s="29"/>
      <c r="M2" s="29"/>
    </row>
    <row r="3" spans="1:13" ht="19.2" customHeight="1" x14ac:dyDescent="0.3">
      <c r="A3" s="24" t="s">
        <v>2</v>
      </c>
      <c r="B3" s="24"/>
      <c r="C3" s="24"/>
      <c r="D3" s="10"/>
      <c r="F3" s="24" t="s">
        <v>2</v>
      </c>
      <c r="G3" s="24"/>
      <c r="H3" s="24"/>
      <c r="K3" s="24" t="s">
        <v>2</v>
      </c>
      <c r="L3" s="24"/>
      <c r="M3" s="24"/>
    </row>
    <row r="4" spans="1:13" x14ac:dyDescent="0.3">
      <c r="A4" s="11" t="s">
        <v>58</v>
      </c>
      <c r="B4" s="11" t="s">
        <v>9</v>
      </c>
      <c r="C4" s="11" t="s">
        <v>12</v>
      </c>
      <c r="D4" s="11"/>
      <c r="F4" s="11" t="s">
        <v>58</v>
      </c>
      <c r="G4" s="11" t="s">
        <v>9</v>
      </c>
      <c r="H4" s="31" t="s">
        <v>12</v>
      </c>
      <c r="K4" s="11" t="s">
        <v>58</v>
      </c>
      <c r="L4" s="11" t="s">
        <v>9</v>
      </c>
      <c r="M4" s="31" t="s">
        <v>12</v>
      </c>
    </row>
    <row r="5" spans="1:13" x14ac:dyDescent="0.3">
      <c r="A5" s="6">
        <v>280000</v>
      </c>
      <c r="B5" s="6">
        <v>86000</v>
      </c>
      <c r="C5" s="6">
        <v>85000</v>
      </c>
      <c r="D5" s="13"/>
      <c r="F5" s="6">
        <v>280000</v>
      </c>
      <c r="G5" s="6">
        <v>86000</v>
      </c>
      <c r="H5" s="30">
        <v>85000</v>
      </c>
      <c r="K5" s="6">
        <v>276250</v>
      </c>
      <c r="L5" s="6">
        <v>86000</v>
      </c>
      <c r="M5" s="30">
        <v>85000</v>
      </c>
    </row>
    <row r="6" spans="1:13" x14ac:dyDescent="0.3">
      <c r="A6" s="16">
        <v>95000</v>
      </c>
      <c r="B6" s="6">
        <v>90200</v>
      </c>
      <c r="C6" s="6">
        <v>95000</v>
      </c>
      <c r="D6" s="13"/>
      <c r="F6" s="16">
        <v>95000</v>
      </c>
      <c r="G6" s="6">
        <v>90200</v>
      </c>
      <c r="H6" s="30">
        <v>95000</v>
      </c>
      <c r="K6" s="16">
        <v>95000</v>
      </c>
      <c r="L6" s="6">
        <v>90200</v>
      </c>
      <c r="M6" s="30">
        <v>95000</v>
      </c>
    </row>
    <row r="7" spans="1:13" x14ac:dyDescent="0.3">
      <c r="A7" s="16">
        <v>95000</v>
      </c>
      <c r="B7" s="6">
        <v>112000</v>
      </c>
      <c r="C7" s="6">
        <v>75000</v>
      </c>
      <c r="D7" s="13"/>
      <c r="F7" s="16">
        <v>95000</v>
      </c>
      <c r="G7" s="6">
        <v>112000</v>
      </c>
      <c r="H7" s="30">
        <v>75000</v>
      </c>
      <c r="K7" s="16">
        <v>95000</v>
      </c>
      <c r="L7" s="6">
        <v>111625</v>
      </c>
      <c r="M7" s="30">
        <v>75000</v>
      </c>
    </row>
    <row r="8" spans="1:13" x14ac:dyDescent="0.3">
      <c r="A8" s="16">
        <v>120000</v>
      </c>
      <c r="B8" s="6">
        <v>100000</v>
      </c>
      <c r="C8" s="6">
        <v>85000</v>
      </c>
      <c r="D8" s="12"/>
      <c r="F8" s="16">
        <v>120000</v>
      </c>
      <c r="G8" s="6">
        <v>100000</v>
      </c>
      <c r="H8" s="30">
        <v>85000</v>
      </c>
      <c r="K8" s="16">
        <v>120000</v>
      </c>
      <c r="L8" s="6">
        <v>100000</v>
      </c>
      <c r="M8" s="30">
        <v>85000</v>
      </c>
    </row>
    <row r="9" spans="1:13" x14ac:dyDescent="0.3">
      <c r="A9" s="16">
        <v>130000</v>
      </c>
      <c r="B9" s="6">
        <v>92000</v>
      </c>
      <c r="C9" s="6">
        <v>45000</v>
      </c>
      <c r="D9" s="12"/>
      <c r="F9" s="16">
        <v>130000</v>
      </c>
      <c r="G9" s="6">
        <v>92000</v>
      </c>
      <c r="H9" s="30">
        <v>45000</v>
      </c>
      <c r="K9" s="16">
        <v>130000</v>
      </c>
      <c r="L9" s="6">
        <v>92000</v>
      </c>
      <c r="M9" s="30">
        <v>53125</v>
      </c>
    </row>
    <row r="10" spans="1:13" x14ac:dyDescent="0.3">
      <c r="A10" s="17">
        <v>290000</v>
      </c>
      <c r="B10" s="6">
        <v>60000</v>
      </c>
      <c r="C10" s="6">
        <v>70000</v>
      </c>
      <c r="D10" s="12"/>
      <c r="F10" s="17">
        <v>290000</v>
      </c>
      <c r="G10" s="6">
        <v>60000</v>
      </c>
      <c r="H10" s="30">
        <v>70000</v>
      </c>
      <c r="K10" s="17">
        <v>276250</v>
      </c>
      <c r="L10" s="6">
        <v>68625</v>
      </c>
      <c r="M10" s="30">
        <v>70000</v>
      </c>
    </row>
    <row r="11" spans="1:13" x14ac:dyDescent="0.3">
      <c r="A11" s="16">
        <v>160000</v>
      </c>
      <c r="B11" s="6">
        <v>105000</v>
      </c>
      <c r="C11" s="6">
        <v>80000</v>
      </c>
      <c r="D11" s="12"/>
      <c r="F11" s="16">
        <v>160000</v>
      </c>
      <c r="G11" s="6">
        <v>105000</v>
      </c>
      <c r="H11" s="30">
        <v>80000</v>
      </c>
      <c r="K11" s="16">
        <v>160000</v>
      </c>
      <c r="L11" s="6">
        <v>105000</v>
      </c>
      <c r="M11" s="30">
        <v>80000</v>
      </c>
    </row>
    <row r="12" spans="1:13" x14ac:dyDescent="0.3">
      <c r="A12" s="16">
        <v>330000</v>
      </c>
      <c r="B12" s="6">
        <v>110000</v>
      </c>
      <c r="C12" s="6">
        <v>80000</v>
      </c>
      <c r="D12" s="14"/>
      <c r="F12" s="16">
        <v>330000</v>
      </c>
      <c r="G12" s="6">
        <v>110000</v>
      </c>
      <c r="H12" s="30">
        <v>80000</v>
      </c>
      <c r="K12" s="16">
        <v>276250</v>
      </c>
      <c r="L12" s="6">
        <v>110000</v>
      </c>
      <c r="M12" s="30">
        <v>80000</v>
      </c>
    </row>
    <row r="13" spans="1:13" x14ac:dyDescent="0.3">
      <c r="A13" s="16">
        <v>70000</v>
      </c>
      <c r="B13" s="6">
        <v>94000</v>
      </c>
      <c r="C13" s="6">
        <v>40000</v>
      </c>
      <c r="D13" s="12"/>
      <c r="F13" s="16">
        <v>70000</v>
      </c>
      <c r="G13" s="6">
        <v>94000</v>
      </c>
      <c r="H13" s="30">
        <v>40000</v>
      </c>
      <c r="K13" s="16">
        <v>70000</v>
      </c>
      <c r="L13" s="6">
        <v>94000</v>
      </c>
      <c r="M13" s="30">
        <v>53125</v>
      </c>
    </row>
    <row r="14" spans="1:13" x14ac:dyDescent="0.3">
      <c r="A14" s="17">
        <v>115000</v>
      </c>
      <c r="B14" s="6">
        <v>90200</v>
      </c>
      <c r="C14" s="6">
        <v>80000</v>
      </c>
      <c r="D14" s="13"/>
      <c r="F14" s="17">
        <v>115000</v>
      </c>
      <c r="G14" s="6">
        <v>90200</v>
      </c>
      <c r="H14" s="30">
        <v>80000</v>
      </c>
      <c r="K14" s="17">
        <v>115000</v>
      </c>
      <c r="L14" s="6">
        <v>90200</v>
      </c>
      <c r="M14" s="30">
        <v>80000</v>
      </c>
    </row>
    <row r="15" spans="1:13" x14ac:dyDescent="0.3">
      <c r="A15" s="16">
        <v>117000</v>
      </c>
      <c r="B15" s="6">
        <v>90000</v>
      </c>
      <c r="C15" s="6">
        <v>75000</v>
      </c>
      <c r="D15" s="13"/>
      <c r="F15" s="16">
        <v>117000</v>
      </c>
      <c r="G15" s="6">
        <v>90000</v>
      </c>
      <c r="H15" s="30">
        <v>75000</v>
      </c>
      <c r="K15" s="16">
        <v>117000</v>
      </c>
      <c r="L15" s="6">
        <v>90000</v>
      </c>
      <c r="M15" s="30">
        <v>75000</v>
      </c>
    </row>
    <row r="16" spans="1:13" x14ac:dyDescent="0.3">
      <c r="A16" s="16">
        <v>95000</v>
      </c>
      <c r="B16" s="6">
        <v>88000</v>
      </c>
      <c r="C16" s="6">
        <v>65000</v>
      </c>
      <c r="D16" s="13"/>
      <c r="F16" s="16">
        <v>95000</v>
      </c>
      <c r="G16" s="6">
        <v>88000</v>
      </c>
      <c r="H16" s="30">
        <v>65000</v>
      </c>
      <c r="K16" s="16">
        <v>95000</v>
      </c>
      <c r="L16" s="6">
        <v>88000</v>
      </c>
      <c r="M16" s="30">
        <v>65000</v>
      </c>
    </row>
    <row r="17" spans="1:13" x14ac:dyDescent="0.3">
      <c r="A17" s="16">
        <v>95000</v>
      </c>
      <c r="B17" s="6">
        <v>76000</v>
      </c>
      <c r="C17" s="6">
        <v>75000</v>
      </c>
      <c r="D17" s="12"/>
      <c r="F17" s="16">
        <v>95000</v>
      </c>
      <c r="G17" s="6">
        <v>76000</v>
      </c>
      <c r="H17" s="30">
        <v>75000</v>
      </c>
      <c r="K17" s="16">
        <v>95000</v>
      </c>
      <c r="L17" s="6">
        <v>76000</v>
      </c>
      <c r="M17" s="30">
        <v>75000</v>
      </c>
    </row>
    <row r="18" spans="1:13" x14ac:dyDescent="0.3">
      <c r="A18" s="16">
        <v>60000</v>
      </c>
      <c r="B18" s="6">
        <v>89000</v>
      </c>
      <c r="C18" s="6">
        <v>70000</v>
      </c>
      <c r="D18" s="13"/>
      <c r="F18" s="16">
        <v>60000</v>
      </c>
      <c r="G18" s="6">
        <v>89000</v>
      </c>
      <c r="H18" s="30">
        <v>70000</v>
      </c>
      <c r="K18" s="16">
        <v>60000</v>
      </c>
      <c r="L18" s="6">
        <v>89000</v>
      </c>
      <c r="M18" s="30">
        <v>70000</v>
      </c>
    </row>
    <row r="19" spans="1:13" x14ac:dyDescent="0.3">
      <c r="A19" s="16">
        <v>70000</v>
      </c>
      <c r="B19" s="6">
        <v>75000</v>
      </c>
      <c r="C19" s="6">
        <v>80000</v>
      </c>
      <c r="D19" s="8"/>
      <c r="F19" s="16">
        <v>70000</v>
      </c>
      <c r="G19" s="6">
        <v>75000</v>
      </c>
      <c r="H19" s="30">
        <v>80000</v>
      </c>
      <c r="K19" s="16">
        <v>70000</v>
      </c>
      <c r="L19" s="6">
        <v>75000</v>
      </c>
      <c r="M19" s="30">
        <v>80000</v>
      </c>
    </row>
    <row r="20" spans="1:13" x14ac:dyDescent="0.3">
      <c r="A20" s="6">
        <v>190000</v>
      </c>
      <c r="B20" s="6">
        <v>81000</v>
      </c>
      <c r="C20" s="6">
        <v>85000</v>
      </c>
      <c r="F20" s="6">
        <v>190000</v>
      </c>
      <c r="G20" s="6">
        <v>81000</v>
      </c>
      <c r="H20" s="30">
        <v>85000</v>
      </c>
      <c r="K20" s="6">
        <v>190000</v>
      </c>
      <c r="L20" s="6">
        <v>81000</v>
      </c>
      <c r="M20" s="30">
        <v>85000</v>
      </c>
    </row>
  </sheetData>
  <mergeCells count="6">
    <mergeCell ref="A2:C2"/>
    <mergeCell ref="F2:H2"/>
    <mergeCell ref="K2:M2"/>
    <mergeCell ref="A3:C3"/>
    <mergeCell ref="F3:H3"/>
    <mergeCell ref="K3:M3"/>
  </mergeCells>
  <conditionalFormatting sqref="F5:F20">
    <cfRule type="cellIs" dxfId="8" priority="6" operator="notBetween">
      <formula>-13750</formula>
      <formula>276250</formula>
    </cfRule>
  </conditionalFormatting>
  <conditionalFormatting sqref="G5:G20">
    <cfRule type="cellIs" dxfId="7" priority="5" operator="notBetween">
      <formula>68625</formula>
      <formula>111625</formula>
    </cfRule>
  </conditionalFormatting>
  <conditionalFormatting sqref="H4:H20">
    <cfRule type="cellIs" dxfId="6" priority="4" operator="notBetween">
      <formula>53125</formula>
      <formula>98125</formula>
    </cfRule>
  </conditionalFormatting>
  <conditionalFormatting sqref="K5:K20">
    <cfRule type="cellIs" dxfId="5" priority="3" operator="notBetween">
      <formula>-13750</formula>
      <formula>276250</formula>
    </cfRule>
  </conditionalFormatting>
  <conditionalFormatting sqref="L5:L20">
    <cfRule type="cellIs" dxfId="4" priority="2" operator="notBetween">
      <formula>68625</formula>
      <formula>111625</formula>
    </cfRule>
  </conditionalFormatting>
  <conditionalFormatting sqref="M4:M20">
    <cfRule type="cellIs" dxfId="3" priority="1" operator="notBetween">
      <formula>53125</formula>
      <formula>98125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4590-FFA9-403A-ACD8-1A4A60A75F93}">
  <dimension ref="A1:N37"/>
  <sheetViews>
    <sheetView topLeftCell="A13" workbookViewId="0">
      <selection activeCell="F37" sqref="F37"/>
    </sheetView>
  </sheetViews>
  <sheetFormatPr defaultRowHeight="14.4" x14ac:dyDescent="0.3"/>
  <cols>
    <col min="1" max="1" width="14.5546875" customWidth="1"/>
    <col min="2" max="2" width="15.33203125" customWidth="1"/>
    <col min="3" max="3" width="15.6640625" customWidth="1"/>
    <col min="5" max="5" width="17.44140625" customWidth="1"/>
    <col min="6" max="6" width="18.109375" customWidth="1"/>
    <col min="7" max="7" width="18" customWidth="1"/>
    <col min="8" max="8" width="20.33203125" customWidth="1"/>
    <col min="10" max="10" width="2" customWidth="1"/>
    <col min="11" max="11" width="15.44140625" customWidth="1"/>
    <col min="12" max="12" width="18.88671875" customWidth="1"/>
    <col min="13" max="13" width="15.44140625" customWidth="1"/>
    <col min="14" max="14" width="15" customWidth="1"/>
  </cols>
  <sheetData>
    <row r="1" spans="1:14" ht="17.399999999999999" x14ac:dyDescent="0.3">
      <c r="A1" s="29" t="s">
        <v>66</v>
      </c>
      <c r="B1" s="29"/>
      <c r="C1" s="29"/>
      <c r="E1" s="25" t="s">
        <v>67</v>
      </c>
      <c r="F1" s="26"/>
      <c r="G1" s="26"/>
      <c r="H1" s="27"/>
      <c r="K1" s="25" t="s">
        <v>68</v>
      </c>
      <c r="L1" s="26"/>
      <c r="M1" s="26"/>
      <c r="N1" s="27"/>
    </row>
    <row r="2" spans="1:14" ht="25.8" customHeight="1" x14ac:dyDescent="0.3">
      <c r="A2" s="24" t="s">
        <v>2</v>
      </c>
      <c r="B2" s="24"/>
      <c r="C2" s="24"/>
      <c r="E2" s="19" t="s">
        <v>1</v>
      </c>
      <c r="F2" s="19" t="s">
        <v>76</v>
      </c>
      <c r="G2" s="19" t="s">
        <v>77</v>
      </c>
      <c r="H2" s="19" t="s">
        <v>78</v>
      </c>
      <c r="K2" s="19" t="s">
        <v>1</v>
      </c>
      <c r="L2" s="19" t="s">
        <v>76</v>
      </c>
      <c r="M2" s="19" t="s">
        <v>77</v>
      </c>
      <c r="N2" s="19" t="s">
        <v>78</v>
      </c>
    </row>
    <row r="3" spans="1:14" ht="27.6" customHeight="1" x14ac:dyDescent="0.3">
      <c r="A3" s="11" t="s">
        <v>58</v>
      </c>
      <c r="B3" s="11" t="s">
        <v>9</v>
      </c>
      <c r="C3" s="31" t="s">
        <v>12</v>
      </c>
      <c r="E3" s="18" t="s">
        <v>58</v>
      </c>
      <c r="F3" s="20">
        <f>AVERAGE(A4:A19)</f>
        <v>140046.875</v>
      </c>
      <c r="G3" s="20">
        <f>MEDIAN(A4:A19)</f>
        <v>116000</v>
      </c>
      <c r="H3" s="20">
        <f>MODE(A4:A19)</f>
        <v>95000</v>
      </c>
      <c r="K3" s="18" t="s">
        <v>58</v>
      </c>
      <c r="L3" s="23">
        <v>144500</v>
      </c>
      <c r="M3" s="23">
        <v>116000</v>
      </c>
      <c r="N3" s="23">
        <v>95000</v>
      </c>
    </row>
    <row r="4" spans="1:14" ht="21.6" customHeight="1" x14ac:dyDescent="0.3">
      <c r="A4" s="6">
        <v>276250</v>
      </c>
      <c r="B4" s="6">
        <v>86000</v>
      </c>
      <c r="C4" s="30">
        <v>85000</v>
      </c>
      <c r="E4" s="18" t="s">
        <v>9</v>
      </c>
      <c r="F4" s="20">
        <f>AVERAGE(B4:B19)</f>
        <v>90415.625</v>
      </c>
      <c r="G4" s="20">
        <f>MEDIAN(B4:B19)</f>
        <v>90100</v>
      </c>
      <c r="H4" s="20">
        <f>MODE(B4:B19)</f>
        <v>90200</v>
      </c>
      <c r="K4" s="18" t="s">
        <v>9</v>
      </c>
      <c r="L4" s="23">
        <v>89900</v>
      </c>
      <c r="M4" s="23">
        <v>90100</v>
      </c>
      <c r="N4" s="23">
        <v>90200</v>
      </c>
    </row>
    <row r="5" spans="1:14" ht="27.6" customHeight="1" x14ac:dyDescent="0.3">
      <c r="A5" s="16">
        <v>95000</v>
      </c>
      <c r="B5" s="6">
        <v>90200</v>
      </c>
      <c r="C5" s="30">
        <v>95000</v>
      </c>
      <c r="E5" s="18" t="s">
        <v>12</v>
      </c>
      <c r="F5" s="20">
        <f>AVERAGE(C4:C19)</f>
        <v>75390.625</v>
      </c>
      <c r="G5" s="20">
        <f>MEDIAN(C4:C19)</f>
        <v>77500</v>
      </c>
      <c r="H5" s="20">
        <f>MODE(C4:C19)</f>
        <v>80000</v>
      </c>
      <c r="K5" s="18" t="s">
        <v>12</v>
      </c>
      <c r="L5" s="23">
        <v>74062.5</v>
      </c>
      <c r="M5" s="23">
        <v>77500</v>
      </c>
      <c r="N5" s="23">
        <v>80000</v>
      </c>
    </row>
    <row r="6" spans="1:14" x14ac:dyDescent="0.3">
      <c r="A6" s="16">
        <v>95000</v>
      </c>
      <c r="B6" s="6">
        <v>111625</v>
      </c>
      <c r="C6" s="30">
        <v>75000</v>
      </c>
    </row>
    <row r="7" spans="1:14" x14ac:dyDescent="0.3">
      <c r="A7" s="16">
        <v>120000</v>
      </c>
      <c r="B7" s="6">
        <v>100000</v>
      </c>
      <c r="C7" s="30">
        <v>85000</v>
      </c>
    </row>
    <row r="8" spans="1:14" x14ac:dyDescent="0.3">
      <c r="A8" s="16">
        <v>130000</v>
      </c>
      <c r="B8" s="6">
        <v>92000</v>
      </c>
      <c r="C8" s="30">
        <v>53125</v>
      </c>
    </row>
    <row r="9" spans="1:14" x14ac:dyDescent="0.3">
      <c r="A9" s="17">
        <v>276250</v>
      </c>
      <c r="B9" s="6">
        <v>68625</v>
      </c>
      <c r="C9" s="30">
        <v>70000</v>
      </c>
    </row>
    <row r="10" spans="1:14" x14ac:dyDescent="0.3">
      <c r="A10" s="16">
        <v>160000</v>
      </c>
      <c r="B10" s="6">
        <v>105000</v>
      </c>
      <c r="C10" s="30">
        <v>80000</v>
      </c>
    </row>
    <row r="11" spans="1:14" x14ac:dyDescent="0.3">
      <c r="A11" s="16">
        <v>276250</v>
      </c>
      <c r="B11" s="6">
        <v>110000</v>
      </c>
      <c r="C11" s="30">
        <v>80000</v>
      </c>
    </row>
    <row r="12" spans="1:14" x14ac:dyDescent="0.3">
      <c r="A12" s="16">
        <v>70000</v>
      </c>
      <c r="B12" s="6">
        <v>94000</v>
      </c>
      <c r="C12" s="30">
        <v>53125</v>
      </c>
    </row>
    <row r="13" spans="1:14" x14ac:dyDescent="0.3">
      <c r="A13" s="17">
        <v>115000</v>
      </c>
      <c r="B13" s="6">
        <v>90200</v>
      </c>
      <c r="C13" s="30">
        <v>80000</v>
      </c>
    </row>
    <row r="14" spans="1:14" x14ac:dyDescent="0.3">
      <c r="A14" s="16">
        <v>117000</v>
      </c>
      <c r="B14" s="6">
        <v>90000</v>
      </c>
      <c r="C14" s="30">
        <v>75000</v>
      </c>
    </row>
    <row r="15" spans="1:14" x14ac:dyDescent="0.3">
      <c r="A15" s="16">
        <v>95000</v>
      </c>
      <c r="B15" s="6">
        <v>88000</v>
      </c>
      <c r="C15" s="30">
        <v>65000</v>
      </c>
    </row>
    <row r="16" spans="1:14" x14ac:dyDescent="0.3">
      <c r="A16" s="16">
        <v>95000</v>
      </c>
      <c r="B16" s="6">
        <v>76000</v>
      </c>
      <c r="C16" s="30">
        <v>75000</v>
      </c>
    </row>
    <row r="17" spans="1:3" x14ac:dyDescent="0.3">
      <c r="A17" s="16">
        <v>60000</v>
      </c>
      <c r="B17" s="6">
        <v>89000</v>
      </c>
      <c r="C17" s="30">
        <v>70000</v>
      </c>
    </row>
    <row r="18" spans="1:3" x14ac:dyDescent="0.3">
      <c r="A18" s="16">
        <v>70000</v>
      </c>
      <c r="B18" s="6">
        <v>75000</v>
      </c>
      <c r="C18" s="30">
        <v>80000</v>
      </c>
    </row>
    <row r="19" spans="1:3" x14ac:dyDescent="0.3">
      <c r="A19" s="6">
        <v>190000</v>
      </c>
      <c r="B19" s="6">
        <v>81000</v>
      </c>
      <c r="C19" s="30">
        <v>85000</v>
      </c>
    </row>
    <row r="37" spans="6:6" x14ac:dyDescent="0.3">
      <c r="F37" t="s">
        <v>79</v>
      </c>
    </row>
  </sheetData>
  <mergeCells count="4">
    <mergeCell ref="E1:H1"/>
    <mergeCell ref="A1:C1"/>
    <mergeCell ref="K1:N1"/>
    <mergeCell ref="A2:C2"/>
  </mergeCells>
  <conditionalFormatting sqref="A4:A19">
    <cfRule type="cellIs" dxfId="2" priority="3" operator="notBetween">
      <formula>-13750</formula>
      <formula>276250</formula>
    </cfRule>
  </conditionalFormatting>
  <conditionalFormatting sqref="B4:B19">
    <cfRule type="cellIs" dxfId="1" priority="2" operator="notBetween">
      <formula>68625</formula>
      <formula>111625</formula>
    </cfRule>
  </conditionalFormatting>
  <conditionalFormatting sqref="C3:C19">
    <cfRule type="cellIs" dxfId="0" priority="1" operator="notBetween">
      <formula>53125</formula>
      <formula>98125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E6FB5D-E33A-4ADE-9B61-66611ACEB2A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0f01b7b4-d4b6-47da-93c5-cffa90a406b9"/>
    <ds:schemaRef ds:uri="http://purl.org/dc/dcmitype/"/>
    <ds:schemaRef ds:uri="http://schemas.openxmlformats.org/package/2006/metadata/core-properties"/>
    <ds:schemaRef ds:uri="b18f8198-02fb-408b-a649-baf04150ea2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EE5BAD-6192-463F-97B2-A2BF8DFE5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98A5E0-53DE-4609-BB3B-105A7AC641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University Data</vt:lpstr>
      <vt:lpstr>Demo 1</vt:lpstr>
      <vt:lpstr>Demo 2</vt:lpstr>
      <vt:lpstr>Demo 3</vt:lpstr>
      <vt:lpstr>Demo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Jiju</cp:lastModifiedBy>
  <cp:revision/>
  <dcterms:created xsi:type="dcterms:W3CDTF">2024-11-01T14:17:25Z</dcterms:created>
  <dcterms:modified xsi:type="dcterms:W3CDTF">2025-08-29T01:51:38Z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