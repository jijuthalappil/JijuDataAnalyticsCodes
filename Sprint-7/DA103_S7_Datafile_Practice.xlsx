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EARN_NIIT\Gitcode\JijuDataAnalyticsCodes\Sprint-7\"/>
    </mc:Choice>
  </mc:AlternateContent>
  <xr:revisionPtr revIDLastSave="0" documentId="13_ncr:1_{7255EAFD-E44E-4481-A8F3-11FD583098C5}" xr6:coauthVersionLast="47" xr6:coauthVersionMax="47" xr10:uidLastSave="{00000000-0000-0000-0000-000000000000}"/>
  <bookViews>
    <workbookView xWindow="-108" yWindow="-108" windowWidth="23256" windowHeight="11964" activeTab="2" xr2:uid="{00000000-000D-0000-FFFF-FFFF00000000}"/>
  </bookViews>
  <sheets>
    <sheet name="Mall Data" sheetId="1" r:id="rId1"/>
    <sheet name="Task 1" sheetId="3" r:id="rId2"/>
    <sheet name="Task 2" sheetId="2" r:id="rId3"/>
    <sheet name="Task 3" sheetId="4" r:id="rId4"/>
  </sheets>
  <definedNames>
    <definedName name="_xlnm._FilterDatabase" localSheetId="0" hidden="1">'Mall Data'!$A$1:$U$366</definedName>
    <definedName name="_xlnm._FilterDatabase" localSheetId="1" hidden="1">'Task 1'!$A$3:$B$367</definedName>
    <definedName name="_xlnm._FilterDatabase" localSheetId="2" hidden="1">'Task 2'!$A$1:$C$191</definedName>
    <definedName name="_xlnm._FilterDatabase" localSheetId="3" hidden="1">'Task 3'!$A$2:$B$367</definedName>
    <definedName name="_xlchart.v1.0" hidden="1">'Task 1'!$A$3</definedName>
    <definedName name="_xlchart.v1.1" hidden="1">'Task 1'!$A$4:$A$367</definedName>
    <definedName name="_xlchart.v1.10" hidden="1">'Task 1'!$D$3</definedName>
    <definedName name="_xlchart.v1.11" hidden="1">'Task 1'!$D$4:$D$263</definedName>
    <definedName name="_xlchart.v1.12" hidden="1">'Task 1'!$C$3</definedName>
    <definedName name="_xlchart.v1.13" hidden="1">'Task 1'!$C$4:$C$263</definedName>
    <definedName name="_xlchart.v1.14" hidden="1">'Task 1'!$D$3</definedName>
    <definedName name="_xlchart.v1.15" hidden="1">'Task 1'!$D$4:$D$263</definedName>
    <definedName name="_xlchart.v1.16" hidden="1">'Task 1'!$C$3</definedName>
    <definedName name="_xlchart.v1.17" hidden="1">'Task 1'!$C$4:$C$263</definedName>
    <definedName name="_xlchart.v1.18" hidden="1">'Task 1'!$D$3</definedName>
    <definedName name="_xlchart.v1.19" hidden="1">'Task 1'!$D$4:$D$263</definedName>
    <definedName name="_xlchart.v1.2" hidden="1">'Task 1'!$B$3</definedName>
    <definedName name="_xlchart.v1.20" hidden="1">'Task 1'!$C$3</definedName>
    <definedName name="_xlchart.v1.21" hidden="1">'Task 1'!$C$4:$C$263</definedName>
    <definedName name="_xlchart.v1.22" hidden="1">'Task 1'!$D$3</definedName>
    <definedName name="_xlchart.v1.23" hidden="1">'Task 1'!$D$4:$D$263</definedName>
    <definedName name="_xlchart.v1.24" hidden="1">'Task 1'!$A$3</definedName>
    <definedName name="_xlchart.v1.25" hidden="1">'Task 1'!$A$4:$A$367</definedName>
    <definedName name="_xlchart.v1.26" hidden="1">'Task 1'!$B$3</definedName>
    <definedName name="_xlchart.v1.27" hidden="1">'Task 1'!$B$4:$B$367</definedName>
    <definedName name="_xlchart.v1.28" hidden="1">'Task 2'!$A$3</definedName>
    <definedName name="_xlchart.v1.29" hidden="1">'Task 2'!$A$4:$A$191</definedName>
    <definedName name="_xlchart.v1.3" hidden="1">'Task 1'!$B$4:$B$367</definedName>
    <definedName name="_xlchart.v1.30" hidden="1">'Task 2'!$B$3</definedName>
    <definedName name="_xlchart.v1.31" hidden="1">'Task 2'!$B$4:$B$191</definedName>
    <definedName name="_xlchart.v1.32" hidden="1">'Task 2'!$C$3</definedName>
    <definedName name="_xlchart.v1.33" hidden="1">'Task 2'!$C$4:$C$191</definedName>
    <definedName name="_xlchart.v1.34" hidden="1">'Task 3'!$A$3</definedName>
    <definedName name="_xlchart.v1.35" hidden="1">'Task 3'!$A$4:$A$354</definedName>
    <definedName name="_xlchart.v1.36" hidden="1">'Task 3'!$B$3</definedName>
    <definedName name="_xlchart.v1.37" hidden="1">'Task 3'!$B$4:$B$354</definedName>
    <definedName name="_xlchart.v1.4" hidden="1">'Task 1'!$C$3</definedName>
    <definedName name="_xlchart.v1.5" hidden="1">'Task 1'!$C$4:$C$263</definedName>
    <definedName name="_xlchart.v1.6" hidden="1">'Task 1'!$D$3</definedName>
    <definedName name="_xlchart.v1.7" hidden="1">'Task 1'!$D$4:$D$263</definedName>
    <definedName name="_xlchart.v1.8" hidden="1">'Task 1'!$C$3</definedName>
    <definedName name="_xlchart.v1.9" hidden="1">'Task 1'!$C$4:$C$263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R5" i="3"/>
  <c r="Q5" i="3"/>
  <c r="R4" i="3"/>
  <c r="Q4" i="3"/>
  <c r="R3" i="3"/>
  <c r="Q3" i="3"/>
  <c r="H7" i="3"/>
  <c r="G7" i="3"/>
  <c r="H6" i="3"/>
  <c r="G6" i="3"/>
  <c r="H5" i="3"/>
  <c r="G5" i="3"/>
  <c r="H4" i="3"/>
  <c r="G4" i="3"/>
  <c r="H3" i="3"/>
  <c r="G3" i="3"/>
  <c r="O5" i="4" l="1"/>
  <c r="N5" i="4"/>
  <c r="O4" i="4"/>
  <c r="N4" i="4"/>
  <c r="O3" i="4"/>
  <c r="N3" i="4"/>
  <c r="R5" i="2"/>
  <c r="R4" i="2"/>
  <c r="Q5" i="2"/>
  <c r="Q4" i="2"/>
  <c r="P5" i="2"/>
  <c r="P4" i="2"/>
  <c r="R3" i="2"/>
  <c r="Q3" i="2"/>
  <c r="P3" i="2"/>
  <c r="N5" i="3"/>
  <c r="M5" i="3"/>
  <c r="N4" i="3"/>
  <c r="M4" i="3"/>
  <c r="N3" i="3"/>
  <c r="M3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<sst xmlns="http://schemas.openxmlformats.org/spreadsheetml/2006/main" count="1579" uniqueCount="56">
  <si>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</si>
  <si>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</si>
  <si>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</si>
  <si>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</si>
  <si>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</si>
  <si>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</si>
  <si>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</si>
  <si>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</si>
  <si>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</si>
  <si>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</si>
  <si>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</si>
  <si>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</si>
  <si>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</si>
  <si>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</si>
  <si>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</si>
  <si>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</si>
  <si>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</si>
  <si>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</si>
  <si>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</si>
  <si>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</si>
  <si>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</si>
  <si>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</si>
  <si>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</si>
  <si>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</si>
  <si>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</si>
  <si>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</si>
  <si>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</si>
  <si>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</si>
  <si>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</si>
  <si>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Mean</t>
  </si>
  <si>
    <t>Median</t>
  </si>
  <si>
    <t>Mode</t>
  </si>
  <si>
    <t>Holiday</t>
  </si>
  <si>
    <t>Yes</t>
  </si>
  <si>
    <t>No</t>
  </si>
  <si>
    <t>Holiday?</t>
  </si>
  <si>
    <t>Weekend</t>
  </si>
  <si>
    <t>Total Footfall</t>
  </si>
  <si>
    <t>Weekday</t>
  </si>
  <si>
    <t>Not Holiday</t>
  </si>
  <si>
    <t>Avg Duration of Stay (min)</t>
  </si>
  <si>
    <t>Movie Ticket Sold</t>
  </si>
  <si>
    <t>Before Outlier Treatment</t>
  </si>
  <si>
    <t>With Outliers</t>
  </si>
  <si>
    <t>Without Outliers</t>
  </si>
  <si>
    <t>Q1</t>
  </si>
  <si>
    <t>IQR</t>
  </si>
  <si>
    <t>Q3</t>
  </si>
  <si>
    <t>Lower Fence</t>
  </si>
  <si>
    <t>Upper Fence</t>
  </si>
  <si>
    <t>With outliers</t>
  </si>
  <si>
    <t>Without outliers</t>
  </si>
  <si>
    <t>With outlier</t>
  </si>
  <si>
    <t>Without outlier</t>
  </si>
  <si>
    <t>After Outlier Treatment</t>
  </si>
  <si>
    <t>IQR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</si>
</sst>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 &quot;₹&quot;\ * #,##0_ ;_ &quot;₹&quot;\ * \-#,##0_ ;_ &quot;₹&quot;\ * &quot;-&quot;??_ ;_ @_ "/>
    <numFmt numFmtId="167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2">
    <xf numFmtId="0" fontId="0" fillId="0" borderId="0" xfId="0"/>
    <xf numFmtId="166" fontId="0" fillId="0" borderId="0" xfId="2" applyNumberFormat="1" applyFont="1"/>
    <xf numFmtId="167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/>
    <xf numFmtId="3" fontId="5" fillId="3" borderId="1" xfId="0" applyNumberFormat="1" applyFont="1" applyFill="1" applyBorder="1"/>
    <xf numFmtId="3" fontId="5" fillId="2" borderId="1" xfId="0" applyNumberFormat="1" applyFont="1" applyFill="1" applyBorder="1"/>
    <xf numFmtId="0" fontId="0" fillId="0" borderId="0" xfId="0" applyAlignment="1">
      <alignment horizontal="center"/>
    </xf>
    <xf numFmtId="0" fontId="0" fillId="0" borderId="1" xfId="0" applyBorder="1"/>
    <xf numFmtId="167" fontId="0" fillId="0" borderId="1" xfId="1" applyNumberFormat="1" applyFont="1" applyBorder="1"/>
    <xf numFmtId="167" fontId="0" fillId="0" borderId="0" xfId="1" applyNumberFormat="1" applyFont="1" applyBorder="1"/>
    <xf numFmtId="0" fontId="1" fillId="2" borderId="1" xfId="0" applyFont="1" applyFill="1" applyBorder="1"/>
    <xf numFmtId="167" fontId="1" fillId="2" borderId="1" xfId="1" applyNumberFormat="1" applyFont="1" applyFill="1" applyBorder="1" applyAlignment="1">
      <alignment horizontal="left"/>
    </xf>
    <xf numFmtId="1" fontId="0" fillId="0" borderId="1" xfId="0" applyNumberFormat="1" applyBorder="1"/>
    <xf numFmtId="0" fontId="1" fillId="3" borderId="1" xfId="0" applyFont="1" applyFill="1" applyBorder="1"/>
    <xf numFmtId="167" fontId="1" fillId="3" borderId="1" xfId="1" applyNumberFormat="1" applyFont="1" applyFill="1" applyBorder="1" applyAlignment="1">
      <alignment horizontal="left"/>
    </xf>
    <xf numFmtId="1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/>
    <xf numFmtId="167" fontId="1" fillId="4" borderId="1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3" fontId="0" fillId="5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C1FF"/>
      <color rgb="FFB9FFE8"/>
      <color rgb="FFBDFFBD"/>
      <color rgb="FFFFC1EC"/>
      <color rgb="FFD5E3FF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plotArea>
      <cx:plotAreaRegion>
        <cx:series layoutId="boxWhisker" uniqueId="{29D891D9-FFD8-4D10-9E34-D1AFACCB07B4}" formatIdx="1">
          <cx:tx>
            <cx:txData>
              <cx:f>_xlchart.v1.24</cx:f>
              <cx:v>Weekday</cx:v>
            </cx:txData>
          </cx:tx>
          <cx:spPr>
            <a:solidFill>
              <a:srgbClr val="FFC1EC"/>
            </a:solidFill>
          </cx:spPr>
          <cx:dataLabels pos="t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C2029C3-D5EB-41B3-A4E3-78F5AAA04813}" formatIdx="2">
          <cx:tx>
            <cx:txData>
              <cx:f>_xlchart.v1.26</cx:f>
              <cx:v>Weekend</cx:v>
            </cx:txData>
          </cx:tx>
          <cx:spPr>
            <a:solidFill>
              <a:srgbClr val="BDFFBD"/>
            </a:solidFill>
          </cx:spPr>
          <cx:dataLabels pos="t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Total Footfall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Total Footfall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title pos="t" align="ctr" overlay="0"/>
    <cx:plotArea>
      <cx:plotAreaRegion>
        <cx:series layoutId="boxWhisker" uniqueId="{0B20D887-2914-4D88-B2E9-06EB941E5FED}">
          <cx:tx>
            <cx:txData>
              <cx:f>_xlchart.v1.20</cx:f>
              <cx:v>Weekday</cx:v>
            </cx:txData>
          </cx:tx>
          <cx:dataLabels pos="t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E2A8998-E3F9-416D-AD19-1450D4A0FF02}">
          <cx:tx>
            <cx:txData>
              <cx:f>_xlchart.v1.22</cx:f>
              <cx:v>Weekend</cx:v>
            </cx:txData>
          </cx:tx>
          <cx:dataLabels pos="t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Total Footfall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chemeClr val="accent6"/>
                  </a:solidFill>
                  <a:latin typeface="Calibri"/>
                </a:rPr>
                <a:t>Total Footfall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_xlchart.v1.31</cx:f>
      </cx:numDim>
    </cx:data>
    <cx:data id="2">
      <cx:numDim type="val">
        <cx:f>_xlchart.v1.33</cx:f>
      </cx:numDim>
    </cx:data>
  </cx:chartData>
  <cx:chart>
    <cx:plotArea>
      <cx:plotAreaRegion>
        <cx:series layoutId="boxWhisker" uniqueId="{AB330EDE-9684-4951-82BD-988C40B51040}">
          <cx:tx>
            <cx:txData>
              <cx:f>_xlchart.v1.28</cx:f>
              <cx:v>Morning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F8F9ACD-B485-4848-9607-58C62FDA6061}">
          <cx:tx>
            <cx:txData>
              <cx:f>_xlchart.v1.30</cx:f>
              <cx:v>Afternoon</cx:v>
            </cx:txData>
          </cx:tx>
          <cx:spPr>
            <a:solidFill>
              <a:srgbClr val="FFFFC9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471D082-8BB6-40F5-A0B5-60400189187F}">
          <cx:tx>
            <cx:txData>
              <cx:f>_xlchart.v1.32</cx:f>
              <cx:v>Evening</cx:v>
            </cx:txData>
          </cx:tx>
          <cx:spPr>
            <a:solidFill>
              <a:srgbClr val="D5E3FF"/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Movie Ticket Sold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Movie Ticket Sold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  <cx:data id="1">
      <cx:numDim type="val">
        <cx:f>_xlchart.v1.37</cx:f>
      </cx:numDim>
    </cx:data>
  </cx:chartData>
  <cx:chart>
    <cx:plotArea>
      <cx:plotAreaRegion>
        <cx:series layoutId="boxWhisker" uniqueId="{D407F8AA-6457-4F6A-A783-7EB973693B06}">
          <cx:tx>
            <cx:txData>
              <cx:f>_xlchart.v1.34</cx:f>
              <cx:v>Not Holiday</cx:v>
            </cx:txData>
          </cx:tx>
          <cx:spPr>
            <a:solidFill>
              <a:srgbClr val="B9FFE8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E5B903E-6EFE-4A6F-A638-740BC563ABF2}">
          <cx:tx>
            <cx:txData>
              <cx:f>_xlchart.v1.36</cx:f>
              <cx:v>Holiday</cx:v>
            </cx:txData>
          </cx:tx>
          <cx:spPr>
            <a:solidFill>
              <a:srgbClr val="FFC1FF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Avg Duration of Stay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Avg Duration of Stay (min)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7</xdr:row>
      <xdr:rowOff>76200</xdr:rowOff>
    </xdr:from>
    <xdr:ext cx="5265420" cy="32537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2476500" y="1432560"/>
          <a:ext cx="5265420" cy="32537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Identify and Treat Outliers in Total Footfall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 Use the IQR method to calculate lower and upper bounds for detecting outliers.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1.2  Replace outliers using the Winsorization technique (capping values at the lower and upper fences) if any.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1.3  Calculate mean, median, and mode of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1.4  Create boxplots for comparison and observe changes in data distribution and central tendency.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Q1, Q3,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IQR, Lower and Upper fences of "With outlier" section data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 Fill them in the "IQR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Table"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Apply conditional formatting and highlight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outliers (if any) of "With outlier" section data.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Impute outliers and fill the imputed data in the "Without Outliers"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boxplots for outlier treated data.</a:t>
          </a:r>
        </a:p>
        <a:p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before and after treated distribution and central values.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10</xdr:col>
      <xdr:colOff>868680</xdr:colOff>
      <xdr:row>5</xdr:row>
      <xdr:rowOff>99060</xdr:rowOff>
    </xdr:from>
    <xdr:to>
      <xdr:col>14</xdr:col>
      <xdr:colOff>0</xdr:colOff>
      <xdr:row>18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A3C08F5-2A3F-502E-A70F-84434BED2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2880" y="1089660"/>
              <a:ext cx="3063240" cy="2377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18</xdr:row>
      <xdr:rowOff>152400</xdr:rowOff>
    </xdr:from>
    <xdr:to>
      <xdr:col>18</xdr:col>
      <xdr:colOff>7620</xdr:colOff>
      <xdr:row>35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7825740" y="3520440"/>
          <a:ext cx="6804660" cy="3070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15</xdr:col>
      <xdr:colOff>845820</xdr:colOff>
      <xdr:row>10</xdr:row>
      <xdr:rowOff>152400</xdr:rowOff>
    </xdr:from>
    <xdr:ext cx="13360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514573-6608-0DA9-6325-74B7035BF431}"/>
            </a:ext>
          </a:extLst>
        </xdr:cNvPr>
        <xdr:cNvSpPr txBox="1"/>
      </xdr:nvSpPr>
      <xdr:spPr>
        <a:xfrm>
          <a:off x="12481560" y="205740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15</xdr:col>
      <xdr:colOff>0</xdr:colOff>
      <xdr:row>5</xdr:row>
      <xdr:rowOff>152400</xdr:rowOff>
    </xdr:from>
    <xdr:to>
      <xdr:col>19</xdr:col>
      <xdr:colOff>457200</xdr:colOff>
      <xdr:row>23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6A12F8D-5311-7C64-926F-2318CA3D8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49100" y="1143000"/>
              <a:ext cx="4053840" cy="3230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</xdr:colOff>
      <xdr:row>7</xdr:row>
      <xdr:rowOff>106680</xdr:rowOff>
    </xdr:from>
    <xdr:ext cx="5074920" cy="3337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4091940" y="1463040"/>
          <a:ext cx="5074920" cy="3337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Identify and Treat Outliers in Movie Tickets Sold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 Use the IQR method to calculate lower and upper bounds for detecting outliers.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 Replace outliers using the Winsorization technique (capping values at the lower and upper fences) if any.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 Calculate mean, median, and mode of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2.4  Create boxplots for comparison and observe changes in data distribution and central tendency.</a:t>
          </a:r>
        </a:p>
        <a:p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Q1, Q3, IQR, Lower and Upper fences of "With outlier" section data. Fill them in the "IQR Table".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Apply conditional formatting and highlight outliers (if any) of "With outlier" section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Impute outliers and fill the imputed data in the "Without Outliers"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boxplots for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before and after treated distribution and central values.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twoCellAnchor>
    <xdr:from>
      <xdr:col>13</xdr:col>
      <xdr:colOff>579120</xdr:colOff>
      <xdr:row>6</xdr:row>
      <xdr:rowOff>7620</xdr:rowOff>
    </xdr:from>
    <xdr:to>
      <xdr:col>18</xdr:col>
      <xdr:colOff>0</xdr:colOff>
      <xdr:row>19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732CDFC-F71B-4164-FDC3-9C037220E4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1181100"/>
              <a:ext cx="3444240" cy="238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7620</xdr:colOff>
      <xdr:row>19</xdr:row>
      <xdr:rowOff>144780</xdr:rowOff>
    </xdr:from>
    <xdr:to>
      <xdr:col>22</xdr:col>
      <xdr:colOff>754380</xdr:colOff>
      <xdr:row>26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9189720" y="3695700"/>
          <a:ext cx="7734300" cy="1135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19</xdr:col>
      <xdr:colOff>784860</xdr:colOff>
      <xdr:row>11</xdr:row>
      <xdr:rowOff>91440</xdr:rowOff>
    </xdr:from>
    <xdr:ext cx="133607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F294-FA15-4FBA-885A-7AED4B556FC8}"/>
            </a:ext>
          </a:extLst>
        </xdr:cNvPr>
        <xdr:cNvSpPr txBox="1"/>
      </xdr:nvSpPr>
      <xdr:spPr>
        <a:xfrm>
          <a:off x="13845540" y="217932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205740</xdr:colOff>
      <xdr:row>8</xdr:row>
      <xdr:rowOff>83820</xdr:rowOff>
    </xdr:from>
    <xdr:ext cx="4937760" cy="33680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3192780" y="1623060"/>
          <a:ext cx="4937760" cy="33680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Identify and Treat Outliers in Average Duration of Stay</a:t>
          </a:r>
        </a:p>
        <a:p>
          <a:r>
            <a:rPr lang="en-IN" sz="1100" b="0"/>
            <a:t>3.1  Use the IQR method to calculate lower and upper bounds for detecting outliers.</a:t>
          </a:r>
        </a:p>
        <a:p>
          <a:r>
            <a:rPr lang="en-IN" sz="1100" b="0"/>
            <a:t>3.2  Replace outliers using the Winsorization technique (capping values at the lower and upper fences) if any.</a:t>
          </a:r>
        </a:p>
        <a:p>
          <a:r>
            <a:rPr lang="en-IN" sz="1100" b="0"/>
            <a:t>3.3  Calculate mean, median, and mode of outlier treated data.</a:t>
          </a:r>
        </a:p>
        <a:p>
          <a:r>
            <a:rPr lang="en-IN" sz="1100" b="0"/>
            <a:t>3.4  Create boxplots for comparison and observe changes in data distribution and central tendency.</a:t>
          </a:r>
        </a:p>
        <a:p>
          <a:endParaRPr lang="en-IN" sz="1100" b="0"/>
        </a:p>
        <a:p>
          <a:r>
            <a:rPr lang="en-IN" sz="1100" b="0"/>
            <a:t>*** Calculate Q1, Q3, IQR, Lower and Upper fences of "With outlier" section data. Fill them in the "IQR Table".</a:t>
          </a:r>
        </a:p>
        <a:p>
          <a:r>
            <a:rPr lang="en-IN" sz="1100" b="0"/>
            <a:t>*** Apply conditional formatting and highlight outliers (if any) of "With outlier" section data.</a:t>
          </a:r>
        </a:p>
        <a:p>
          <a:r>
            <a:rPr lang="en-IN" sz="1100" b="0"/>
            <a:t>*** Impute outliers and fill the imputed data in the "Without Outliers" section.</a:t>
          </a:r>
        </a:p>
        <a:p>
          <a:r>
            <a:rPr lang="en-IN" sz="1100" b="0"/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/>
            <a:t>*** Create boxplots for outlier treated data.</a:t>
          </a:r>
        </a:p>
        <a:p>
          <a:r>
            <a:rPr lang="en-IN" sz="1100" b="0"/>
            <a:t>*** Write your observation by comparing before and after treated distribution and central values.</a:t>
          </a:r>
        </a:p>
        <a:p>
          <a:endParaRPr lang="en-IN" sz="1100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11</xdr:col>
      <xdr:colOff>594360</xdr:colOff>
      <xdr:row>5</xdr:row>
      <xdr:rowOff>68580</xdr:rowOff>
    </xdr:from>
    <xdr:to>
      <xdr:col>15</xdr:col>
      <xdr:colOff>7620</xdr:colOff>
      <xdr:row>18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2513BD4-F8F1-5A91-88A7-F4F7FB006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20" y="1059180"/>
              <a:ext cx="3931920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18</xdr:row>
      <xdr:rowOff>91440</xdr:rowOff>
    </xdr:from>
    <xdr:to>
      <xdr:col>19</xdr:col>
      <xdr:colOff>76200</xdr:colOff>
      <xdr:row>37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8275320" y="3459480"/>
          <a:ext cx="8336280" cy="3474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17</xdr:col>
      <xdr:colOff>297180</xdr:colOff>
      <xdr:row>10</xdr:row>
      <xdr:rowOff>106680</xdr:rowOff>
    </xdr:from>
    <xdr:ext cx="13360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5ABE89-0828-4F35-A623-E4F93C9A43AC}"/>
            </a:ext>
          </a:extLst>
        </xdr:cNvPr>
        <xdr:cNvSpPr txBox="1"/>
      </xdr:nvSpPr>
      <xdr:spPr>
        <a:xfrm>
          <a:off x="14066520" y="201168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workbookViewId="0"/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33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34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34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34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34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34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34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785</v>
      </c>
      <c r="M8" s="1">
        <v>18264679.800000001</v>
      </c>
      <c r="N8" s="1">
        <v>6362039.5800000001</v>
      </c>
      <c r="O8" s="1">
        <v>7538331.8899999997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34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34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25.08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34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34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34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34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41.58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34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34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2095</v>
      </c>
      <c r="M16" s="1">
        <v>35340346.640000001</v>
      </c>
      <c r="N16" s="1">
        <v>21289826.920000002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34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34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34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34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34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34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38.43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34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21.55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34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34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34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33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11.63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34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34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1525</v>
      </c>
      <c r="M29" s="1">
        <v>30067346.690000001</v>
      </c>
      <c r="N29" s="1">
        <v>12086667.890000001</v>
      </c>
      <c r="O29" s="1">
        <v>6711240.8700000001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34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1554</v>
      </c>
      <c r="M30" s="1">
        <v>43192531.329999998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34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34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34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34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34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34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19.16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34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34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34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34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34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34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34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34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34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34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34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34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34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34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1905</v>
      </c>
      <c r="M50" s="1">
        <v>40343459.740000002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34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34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34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34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34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34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34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1790</v>
      </c>
      <c r="M57" s="1">
        <v>42571169.149999999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34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44.92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34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34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34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34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34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34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1444</v>
      </c>
      <c r="M64" s="1">
        <v>17424967.07</v>
      </c>
      <c r="N64" s="1">
        <v>20149834.739999998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34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1455</v>
      </c>
      <c r="M65" s="1">
        <v>20621653.140000001</v>
      </c>
      <c r="N65" s="1">
        <v>21721123.309999999</v>
      </c>
      <c r="O65" s="1">
        <v>6912452.7300000004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34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34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34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34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34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46.71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34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34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1543</v>
      </c>
      <c r="M72" s="1">
        <v>25880397.870000001</v>
      </c>
      <c r="N72" s="1">
        <v>22316942.890000001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34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36.9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34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39.159999999999997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34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34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34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34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34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2074</v>
      </c>
      <c r="M79" s="1">
        <v>39975385.850000001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34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34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34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34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34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34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1266</v>
      </c>
      <c r="M85" s="1">
        <v>16756333.68</v>
      </c>
      <c r="N85" s="1">
        <v>12527872.67</v>
      </c>
      <c r="O85" s="1">
        <v>6591249.0599999996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34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34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34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34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34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34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34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34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34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33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34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34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33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42.89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34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1396</v>
      </c>
      <c r="M99" s="1">
        <v>21107873.050000001</v>
      </c>
      <c r="N99" s="1">
        <v>20930003.559999999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34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1734</v>
      </c>
      <c r="M100" s="1">
        <v>27682942.309999999</v>
      </c>
      <c r="N100" s="1">
        <v>16537072.85</v>
      </c>
      <c r="O100" s="1">
        <v>7364358.6900000004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34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34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33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34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34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44.04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34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34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34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34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34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34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34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38.79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34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2284</v>
      </c>
      <c r="M113" s="1">
        <v>41147712.469999999</v>
      </c>
      <c r="N113" s="1">
        <v>21126086.84</v>
      </c>
      <c r="O113" s="1">
        <v>7253190.2300000004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34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39.950000000000003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34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34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34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43.09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34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34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34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34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34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34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42.03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34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34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34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34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34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34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34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34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34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34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34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43.87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34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1530</v>
      </c>
      <c r="M135" s="1">
        <v>24619268.73</v>
      </c>
      <c r="N135" s="1">
        <v>15933337.26</v>
      </c>
      <c r="O135" s="1">
        <v>6762746.1799999997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34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34.86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34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34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34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34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34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1896</v>
      </c>
      <c r="M141" s="1">
        <v>42550032.18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34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34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34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34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34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34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34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1710</v>
      </c>
      <c r="M148" s="1">
        <v>38770792.340000004</v>
      </c>
      <c r="N148" s="1">
        <v>7042567.2599999998</v>
      </c>
      <c r="O148" s="1">
        <v>7788955.5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34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34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34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34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34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34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34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34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34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34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34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34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34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41.03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34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34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1840</v>
      </c>
      <c r="M163" s="1">
        <v>31487977.989999998</v>
      </c>
      <c r="N163" s="1">
        <v>24933737.68</v>
      </c>
      <c r="O163" s="1">
        <v>6673801.5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34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34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34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34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34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34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34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1537</v>
      </c>
      <c r="M170" s="1">
        <v>37508172.859999999</v>
      </c>
      <c r="N170" s="1">
        <v>7747511.1500000004</v>
      </c>
      <c r="O170" s="1">
        <v>6945000.3700000001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34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34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34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34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34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34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34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34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34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34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33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34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34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34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34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34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34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34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34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34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34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1101</v>
      </c>
      <c r="M191" s="1">
        <v>22461218.859999999</v>
      </c>
      <c r="N191" s="1">
        <v>7020121.0800000001</v>
      </c>
      <c r="O191" s="1">
        <v>7449920.8300000001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34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34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34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34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34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34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31.69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34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1220</v>
      </c>
      <c r="M198" s="1">
        <v>16283561.060000001</v>
      </c>
      <c r="N198" s="1">
        <v>23318659.010000002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34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34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34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34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34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34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34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34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34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34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34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34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33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34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34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34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40.35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34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34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34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48.22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34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34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34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34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34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34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34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44.81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34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34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34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33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34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34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34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34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34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34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34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34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34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34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34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34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2072</v>
      </c>
      <c r="M240" s="1">
        <v>41378927.350000001</v>
      </c>
      <c r="N240" s="1">
        <v>19627097.690000001</v>
      </c>
      <c r="O240" s="1">
        <v>6395211.6900000004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34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34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33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34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34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34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34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34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34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34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34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34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34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34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34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34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34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34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34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34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34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34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46.25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34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34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34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34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43.15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34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34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1338</v>
      </c>
      <c r="M268" s="1">
        <v>22445949.960000001</v>
      </c>
      <c r="N268" s="1">
        <v>16056359.640000001</v>
      </c>
      <c r="O268" s="1">
        <v>7174050.3200000003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34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34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34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34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34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34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34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1865</v>
      </c>
      <c r="M275" s="1">
        <v>36451707.240000002</v>
      </c>
      <c r="N275" s="1">
        <v>22381847.609999999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33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34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34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34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2433</v>
      </c>
      <c r="M279" s="1">
        <v>50781069.829999998</v>
      </c>
      <c r="N279" s="1">
        <v>13718380.27</v>
      </c>
      <c r="O279" s="1">
        <v>7645890.5300000003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34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34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34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34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1987</v>
      </c>
      <c r="M283" s="1">
        <v>43348953.789999999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34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34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34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34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34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34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42.75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34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34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34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34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34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34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34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34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33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2164</v>
      </c>
      <c r="M298" s="1">
        <v>45647975.299999997</v>
      </c>
      <c r="N298" s="1">
        <v>20554357.960000001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34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34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1618</v>
      </c>
      <c r="M300" s="1">
        <v>24672154.27</v>
      </c>
      <c r="N300" s="1">
        <v>22270793.600000001</v>
      </c>
      <c r="O300" s="1">
        <v>2374751.9300000002</v>
      </c>
      <c r="P300">
        <v>1784</v>
      </c>
      <c r="Q300">
        <v>4634</v>
      </c>
      <c r="R300">
        <v>43.97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34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34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34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34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34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2151</v>
      </c>
      <c r="M305" s="1">
        <v>40243096.079999998</v>
      </c>
      <c r="N305" s="1">
        <v>22213134.199999999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34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34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34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43.46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34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873</v>
      </c>
      <c r="M309" s="1">
        <v>13399465.68</v>
      </c>
      <c r="N309" s="1">
        <v>10130638.109999999</v>
      </c>
      <c r="O309" s="1">
        <v>6987200.5899999999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34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34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34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34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34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34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34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33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34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1565</v>
      </c>
      <c r="M318" s="1">
        <v>32514744.68</v>
      </c>
      <c r="N318" s="1">
        <v>13947933.470000001</v>
      </c>
      <c r="O318" s="1">
        <v>7439463.6200000001</v>
      </c>
      <c r="P318">
        <v>2794</v>
      </c>
      <c r="Q318">
        <v>4286</v>
      </c>
      <c r="R318">
        <v>42.38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34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45.82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34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34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34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1537</v>
      </c>
      <c r="M322" s="1">
        <v>28878509.760000002</v>
      </c>
      <c r="N322" s="1">
        <v>18704958.129999999</v>
      </c>
      <c r="O322" s="1">
        <v>8086935.2699999996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34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34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44.56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34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34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34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34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34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34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34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44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33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34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34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34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34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2027</v>
      </c>
      <c r="M336" s="1">
        <v>55629326.020000003</v>
      </c>
      <c r="N336" s="1">
        <v>13988883.01</v>
      </c>
      <c r="O336" s="1">
        <v>7692905.25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34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34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34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34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34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34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34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34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34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1960</v>
      </c>
      <c r="M345" s="1">
        <v>41743485.520000003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34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34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34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34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34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1339</v>
      </c>
      <c r="M350" s="1">
        <v>27537456.68</v>
      </c>
      <c r="N350" s="1">
        <v>8073003.1200000001</v>
      </c>
      <c r="O350" s="1">
        <v>6597051.6600000001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34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1568</v>
      </c>
      <c r="M351" s="1">
        <v>40014156.229999997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34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2030</v>
      </c>
      <c r="M352" s="1">
        <v>38892681.140000001</v>
      </c>
      <c r="N352" s="1">
        <v>14511335.039999999</v>
      </c>
      <c r="O352" s="1">
        <v>6784712.0999999996</v>
      </c>
      <c r="P352">
        <v>2955</v>
      </c>
      <c r="Q352">
        <v>2904</v>
      </c>
      <c r="R352">
        <v>39.01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34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34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1788</v>
      </c>
      <c r="M354" s="1">
        <v>39367513.149999999</v>
      </c>
      <c r="N354" s="1">
        <v>12431323.42</v>
      </c>
      <c r="O354" s="1">
        <v>6990886.9699999997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34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34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34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34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34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33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34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34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34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34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34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34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R263"/>
  <sheetViews>
    <sheetView topLeftCell="F1" workbookViewId="0">
      <selection activeCell="O11" sqref="O11"/>
    </sheetView>
  </sheetViews>
  <sheetFormatPr defaultRowHeight="14.4" x14ac:dyDescent="0.3"/>
  <cols>
    <col min="5" max="5" width="6.109375" customWidth="1"/>
    <col min="6" max="6" width="11.88671875" customWidth="1"/>
    <col min="7" max="7" width="17.33203125" customWidth="1"/>
    <col min="8" max="10" width="11.88671875" customWidth="1"/>
    <col min="11" max="11" width="13" customWidth="1"/>
    <col min="12" max="12" width="14.109375" customWidth="1"/>
    <col min="13" max="13" width="13" customWidth="1"/>
    <col min="14" max="14" width="17.21875" customWidth="1"/>
    <col min="16" max="16" width="13" customWidth="1"/>
    <col min="17" max="17" width="13.33203125" customWidth="1"/>
    <col min="18" max="18" width="17.21875" customWidth="1"/>
    <col min="25" max="25" width="4.5546875" customWidth="1"/>
  </cols>
  <sheetData>
    <row r="1" spans="1:18" ht="15.6" x14ac:dyDescent="0.3">
      <c r="A1" s="40" t="s">
        <v>43</v>
      </c>
      <c r="B1" s="40"/>
      <c r="C1" s="40" t="s">
        <v>44</v>
      </c>
      <c r="D1" s="40"/>
      <c r="E1" s="17"/>
      <c r="F1" s="42" t="s">
        <v>55</v>
      </c>
      <c r="G1" s="41" t="s">
        <v>37</v>
      </c>
      <c r="H1" s="40"/>
      <c r="L1" s="38" t="s">
        <v>42</v>
      </c>
      <c r="M1" s="36" t="s">
        <v>37</v>
      </c>
      <c r="N1" s="36"/>
      <c r="P1" s="38" t="s">
        <v>54</v>
      </c>
      <c r="Q1" s="36" t="s">
        <v>37</v>
      </c>
      <c r="R1" s="36"/>
    </row>
    <row r="2" spans="1:18" ht="15.6" x14ac:dyDescent="0.3">
      <c r="A2" s="37" t="s">
        <v>37</v>
      </c>
      <c r="B2" s="37"/>
      <c r="C2" s="37" t="s">
        <v>37</v>
      </c>
      <c r="D2" s="37"/>
      <c r="F2" s="42"/>
      <c r="G2" s="32" t="s">
        <v>38</v>
      </c>
      <c r="H2" s="32" t="s">
        <v>36</v>
      </c>
      <c r="L2" s="39"/>
      <c r="M2" s="13" t="s">
        <v>38</v>
      </c>
      <c r="N2" s="13" t="s">
        <v>36</v>
      </c>
      <c r="P2" s="39"/>
      <c r="Q2" s="13" t="s">
        <v>38</v>
      </c>
      <c r="R2" s="13" t="s">
        <v>36</v>
      </c>
    </row>
    <row r="3" spans="1:18" ht="15.6" x14ac:dyDescent="0.3">
      <c r="A3" s="6" t="s">
        <v>38</v>
      </c>
      <c r="B3" s="6" t="s">
        <v>36</v>
      </c>
      <c r="C3" s="6" t="s">
        <v>38</v>
      </c>
      <c r="D3" s="6" t="s">
        <v>36</v>
      </c>
      <c r="F3" s="21" t="s">
        <v>45</v>
      </c>
      <c r="G3" s="23">
        <f>QUARTILE(A4:A263,1)</f>
        <v>11314.75</v>
      </c>
      <c r="H3" s="18">
        <f>QUARTILE(B4:B108,1)</f>
        <v>23877</v>
      </c>
      <c r="L3" s="7" t="s">
        <v>29</v>
      </c>
      <c r="M3" s="16">
        <f>AVERAGE($A$4:$A$263)</f>
        <v>14964.488461538462</v>
      </c>
      <c r="N3" s="16">
        <f>AVERAGE($B$4:$B$263)</f>
        <v>28018.323809523808</v>
      </c>
      <c r="P3" s="7" t="s">
        <v>29</v>
      </c>
      <c r="Q3" s="16">
        <f>AVERAGE(C4:C263)</f>
        <v>14641.865384615385</v>
      </c>
      <c r="R3" s="16">
        <f>AVERAGE(D4:D108)</f>
        <v>28018.323809523808</v>
      </c>
    </row>
    <row r="4" spans="1:18" ht="15.6" x14ac:dyDescent="0.3">
      <c r="A4" s="33">
        <v>14593</v>
      </c>
      <c r="B4" s="33">
        <v>25459</v>
      </c>
      <c r="C4" s="33">
        <v>14593</v>
      </c>
      <c r="D4" s="33">
        <v>25459</v>
      </c>
      <c r="E4" s="2"/>
      <c r="F4" s="21" t="s">
        <v>47</v>
      </c>
      <c r="G4" s="23">
        <f>QUARTILE(A4:A263,3)</f>
        <v>17331</v>
      </c>
      <c r="H4" s="18">
        <f>QUARTILE(B4:B108,3)</f>
        <v>31483</v>
      </c>
      <c r="I4" s="20"/>
      <c r="J4" s="20"/>
      <c r="K4" s="2"/>
      <c r="L4" s="7" t="s">
        <v>30</v>
      </c>
      <c r="M4" s="16">
        <f>MEDIAN($A$4:$A$263)</f>
        <v>14039.5</v>
      </c>
      <c r="N4" s="16">
        <f>MEDIAN($B$4:$B$263)</f>
        <v>28345</v>
      </c>
      <c r="P4" s="7" t="s">
        <v>30</v>
      </c>
      <c r="Q4" s="16">
        <f>MEDIAN(C4:C263)</f>
        <v>14039.5</v>
      </c>
      <c r="R4" s="16">
        <f>MEDIAN(D4:D108)</f>
        <v>28345</v>
      </c>
    </row>
    <row r="5" spans="1:18" ht="15.6" x14ac:dyDescent="0.3">
      <c r="A5" s="33">
        <v>17912</v>
      </c>
      <c r="B5" s="33">
        <v>40986</v>
      </c>
      <c r="C5" s="33">
        <v>17912</v>
      </c>
      <c r="D5" s="33">
        <v>40986</v>
      </c>
      <c r="E5" s="2"/>
      <c r="F5" s="22" t="s">
        <v>46</v>
      </c>
      <c r="G5" s="19">
        <f>G4-G3</f>
        <v>6016.25</v>
      </c>
      <c r="H5" s="19">
        <f>H4-H3</f>
        <v>7606</v>
      </c>
      <c r="I5" s="20"/>
      <c r="J5" s="20"/>
      <c r="K5" s="2"/>
      <c r="L5" s="7" t="s">
        <v>31</v>
      </c>
      <c r="M5" s="16">
        <f>MODE($A$4:$A$263)</f>
        <v>13500</v>
      </c>
      <c r="N5" s="16">
        <f>MODE($B$4:$B$263)</f>
        <v>33673</v>
      </c>
      <c r="P5" s="7" t="s">
        <v>31</v>
      </c>
      <c r="Q5" s="16">
        <f>MODE(C4:C263)</f>
        <v>26355</v>
      </c>
      <c r="R5" s="16">
        <f>MODE(D4:D108)</f>
        <v>33673</v>
      </c>
    </row>
    <row r="6" spans="1:18" x14ac:dyDescent="0.3">
      <c r="A6" s="33">
        <v>15301</v>
      </c>
      <c r="B6" s="33">
        <v>24064</v>
      </c>
      <c r="C6" s="33">
        <v>15301</v>
      </c>
      <c r="D6" s="33">
        <v>24064</v>
      </c>
      <c r="E6" s="2"/>
      <c r="F6" s="22" t="s">
        <v>48</v>
      </c>
      <c r="G6" s="19">
        <f>G3-1.5*G5</f>
        <v>2290.375</v>
      </c>
      <c r="H6" s="19">
        <f>H3-1.5*H5</f>
        <v>12468</v>
      </c>
      <c r="I6" s="20"/>
      <c r="J6" s="20"/>
      <c r="K6" s="2"/>
    </row>
    <row r="7" spans="1:18" x14ac:dyDescent="0.3">
      <c r="A7" s="33">
        <v>18676</v>
      </c>
      <c r="B7" s="33">
        <v>22911</v>
      </c>
      <c r="C7" s="33">
        <v>18676</v>
      </c>
      <c r="D7" s="33">
        <v>22911</v>
      </c>
      <c r="E7" s="2"/>
      <c r="F7" s="22" t="s">
        <v>49</v>
      </c>
      <c r="G7" s="19">
        <f>G4+1.5*G5</f>
        <v>26355.375</v>
      </c>
      <c r="H7" s="19">
        <f>H4+1.5*H5</f>
        <v>42892</v>
      </c>
      <c r="I7" s="2"/>
      <c r="J7" s="2"/>
      <c r="K7" s="2"/>
      <c r="L7" s="11"/>
      <c r="M7" s="11"/>
      <c r="N7" s="11"/>
      <c r="P7" s="11"/>
      <c r="Q7" s="11"/>
      <c r="R7" s="11"/>
    </row>
    <row r="8" spans="1:18" x14ac:dyDescent="0.3">
      <c r="A8" s="33">
        <v>13637</v>
      </c>
      <c r="B8" s="33">
        <v>29735</v>
      </c>
      <c r="C8" s="33">
        <v>13637</v>
      </c>
      <c r="D8" s="33">
        <v>29735</v>
      </c>
      <c r="E8" s="2"/>
      <c r="F8" s="2"/>
      <c r="G8" s="2"/>
      <c r="H8" s="2"/>
      <c r="I8" s="2"/>
      <c r="J8" s="2"/>
      <c r="K8" s="2"/>
      <c r="L8" s="11"/>
      <c r="M8" s="11"/>
      <c r="N8" s="11"/>
      <c r="P8" s="11"/>
      <c r="Q8" s="11"/>
      <c r="R8" s="11"/>
    </row>
    <row r="9" spans="1:18" x14ac:dyDescent="0.3">
      <c r="A9" s="33">
        <v>8532</v>
      </c>
      <c r="B9" s="33">
        <v>31707</v>
      </c>
      <c r="C9" s="33">
        <v>8532</v>
      </c>
      <c r="D9" s="33">
        <v>31707</v>
      </c>
      <c r="E9" s="2"/>
      <c r="F9" s="2"/>
      <c r="G9" s="2"/>
      <c r="H9" s="2"/>
      <c r="I9" s="2"/>
      <c r="J9" s="2"/>
      <c r="K9" s="2"/>
      <c r="L9" s="11"/>
      <c r="M9" s="11"/>
      <c r="N9" s="11"/>
      <c r="P9" s="11"/>
      <c r="Q9" s="11"/>
      <c r="R9" s="11"/>
    </row>
    <row r="10" spans="1:18" x14ac:dyDescent="0.3">
      <c r="A10" s="33">
        <v>12188</v>
      </c>
      <c r="B10" s="33">
        <v>29219</v>
      </c>
      <c r="C10" s="33">
        <v>12188</v>
      </c>
      <c r="D10" s="33">
        <v>29219</v>
      </c>
      <c r="E10" s="2"/>
      <c r="F10" s="2"/>
      <c r="G10" s="2"/>
      <c r="H10" s="2"/>
      <c r="I10" s="2"/>
      <c r="J10" s="2"/>
      <c r="K10" s="2"/>
      <c r="L10" s="11"/>
      <c r="M10" s="11"/>
      <c r="N10" s="11"/>
      <c r="P10" s="11"/>
      <c r="Q10" s="11"/>
      <c r="R10" s="11"/>
    </row>
    <row r="11" spans="1:18" x14ac:dyDescent="0.3">
      <c r="A11" s="33">
        <v>19487</v>
      </c>
      <c r="B11" s="33">
        <v>32041</v>
      </c>
      <c r="C11" s="33">
        <v>19487</v>
      </c>
      <c r="D11" s="33">
        <v>32041</v>
      </c>
      <c r="E11" s="2"/>
      <c r="F11" s="2"/>
      <c r="G11" s="2"/>
      <c r="H11" s="2"/>
      <c r="I11" s="2"/>
      <c r="J11" s="2"/>
      <c r="K11" s="2"/>
      <c r="L11" s="11"/>
      <c r="M11" s="11"/>
      <c r="N11" s="11"/>
      <c r="P11" s="11"/>
      <c r="Q11" s="11"/>
      <c r="R11" s="11"/>
    </row>
    <row r="12" spans="1:18" x14ac:dyDescent="0.3">
      <c r="A12" s="33">
        <v>8031</v>
      </c>
      <c r="B12" s="33">
        <v>34172</v>
      </c>
      <c r="C12" s="33">
        <v>8031</v>
      </c>
      <c r="D12" s="33">
        <v>34172</v>
      </c>
      <c r="E12" s="2"/>
      <c r="F12" s="2"/>
      <c r="G12" s="2"/>
      <c r="H12" s="2"/>
      <c r="I12" s="2"/>
      <c r="J12" s="2"/>
      <c r="K12" s="2"/>
      <c r="L12" s="11"/>
      <c r="M12" s="11"/>
      <c r="N12" s="11"/>
      <c r="P12" s="11"/>
      <c r="Q12" s="11"/>
      <c r="R12" s="11"/>
    </row>
    <row r="13" spans="1:18" x14ac:dyDescent="0.3">
      <c r="A13" s="33">
        <v>13022</v>
      </c>
      <c r="B13" s="33">
        <v>21683</v>
      </c>
      <c r="C13" s="33">
        <v>13022</v>
      </c>
      <c r="D13" s="33">
        <v>21683</v>
      </c>
      <c r="E13" s="2"/>
      <c r="F13" s="2"/>
      <c r="G13" s="2"/>
      <c r="H13" s="2"/>
      <c r="I13" s="2"/>
      <c r="J13" s="2"/>
      <c r="K13" s="2"/>
      <c r="L13" s="11"/>
      <c r="M13" s="11"/>
      <c r="N13" s="11"/>
      <c r="P13" s="11"/>
      <c r="Q13" s="11"/>
      <c r="R13" s="11"/>
    </row>
    <row r="14" spans="1:18" x14ac:dyDescent="0.3">
      <c r="A14" s="33">
        <v>9712</v>
      </c>
      <c r="B14" s="33">
        <v>32985</v>
      </c>
      <c r="C14" s="33">
        <v>9712</v>
      </c>
      <c r="D14" s="33">
        <v>32985</v>
      </c>
      <c r="E14" s="2"/>
      <c r="F14" s="2"/>
      <c r="G14" s="2"/>
      <c r="H14" s="2"/>
      <c r="I14" s="2"/>
      <c r="J14" s="2"/>
      <c r="K14" s="2"/>
      <c r="L14" s="11"/>
      <c r="M14" s="11"/>
      <c r="N14" s="11"/>
      <c r="P14" s="11"/>
      <c r="Q14" s="11"/>
      <c r="R14" s="11"/>
    </row>
    <row r="15" spans="1:18" x14ac:dyDescent="0.3">
      <c r="A15" s="33">
        <v>16160</v>
      </c>
      <c r="B15" s="33">
        <v>22113</v>
      </c>
      <c r="C15" s="33">
        <v>16160</v>
      </c>
      <c r="D15" s="33">
        <v>22113</v>
      </c>
      <c r="E15" s="2"/>
      <c r="F15" s="2"/>
      <c r="G15" s="2"/>
      <c r="H15" s="2"/>
      <c r="I15" s="2"/>
      <c r="J15" s="2"/>
      <c r="K15" s="2"/>
      <c r="L15" s="11"/>
      <c r="M15" s="11"/>
      <c r="N15" s="11"/>
      <c r="P15" s="11"/>
      <c r="Q15" s="11"/>
      <c r="R15" s="11"/>
    </row>
    <row r="16" spans="1:18" x14ac:dyDescent="0.3">
      <c r="A16" s="33">
        <v>14179</v>
      </c>
      <c r="B16" s="33">
        <v>29637</v>
      </c>
      <c r="C16" s="33">
        <v>14179</v>
      </c>
      <c r="D16" s="33">
        <v>29637</v>
      </c>
      <c r="E16" s="2"/>
      <c r="F16" s="2"/>
      <c r="G16" s="2"/>
      <c r="H16" s="2"/>
      <c r="I16" s="2"/>
      <c r="J16" s="2"/>
      <c r="K16" s="2"/>
      <c r="L16" s="11"/>
      <c r="M16" s="11"/>
      <c r="N16" s="11"/>
      <c r="P16" s="11"/>
      <c r="Q16" s="11"/>
      <c r="R16" s="11"/>
    </row>
    <row r="17" spans="1:18" x14ac:dyDescent="0.3">
      <c r="A17" s="33">
        <v>17045</v>
      </c>
      <c r="B17" s="33">
        <v>29223</v>
      </c>
      <c r="C17" s="33">
        <v>17045</v>
      </c>
      <c r="D17" s="33">
        <v>29223</v>
      </c>
      <c r="E17" s="2"/>
      <c r="F17" s="2"/>
      <c r="G17" s="2"/>
      <c r="H17" s="2"/>
      <c r="I17" s="2"/>
      <c r="J17" s="2"/>
      <c r="K17" s="2"/>
      <c r="L17" s="11"/>
      <c r="M17" s="11"/>
      <c r="N17" s="11"/>
      <c r="P17" s="11"/>
      <c r="Q17" s="11"/>
      <c r="R17" s="11"/>
    </row>
    <row r="18" spans="1:18" x14ac:dyDescent="0.3">
      <c r="A18" s="33">
        <v>17275</v>
      </c>
      <c r="B18" s="33">
        <v>27823</v>
      </c>
      <c r="C18" s="33">
        <v>17275</v>
      </c>
      <c r="D18" s="33">
        <v>27823</v>
      </c>
      <c r="E18" s="2"/>
      <c r="F18" s="2"/>
      <c r="G18" s="2"/>
      <c r="H18" s="2"/>
      <c r="I18" s="2"/>
      <c r="J18" s="2"/>
      <c r="K18" s="2"/>
      <c r="P18" s="11"/>
      <c r="Q18" s="11"/>
      <c r="R18" s="11"/>
    </row>
    <row r="19" spans="1:18" x14ac:dyDescent="0.3">
      <c r="A19" s="33">
        <v>18194</v>
      </c>
      <c r="B19" s="33">
        <v>31669</v>
      </c>
      <c r="C19" s="33">
        <v>18194</v>
      </c>
      <c r="D19" s="33">
        <v>31669</v>
      </c>
      <c r="E19" s="2"/>
      <c r="F19" s="2"/>
      <c r="G19" s="2"/>
      <c r="H19" s="2"/>
      <c r="I19" s="2"/>
      <c r="J19" s="2"/>
      <c r="K19" s="2"/>
    </row>
    <row r="20" spans="1:18" x14ac:dyDescent="0.3">
      <c r="A20" s="33">
        <v>13707</v>
      </c>
      <c r="B20" s="33">
        <v>23675</v>
      </c>
      <c r="C20" s="33">
        <v>13707</v>
      </c>
      <c r="D20" s="33">
        <v>23675</v>
      </c>
      <c r="E20" s="2"/>
      <c r="F20" s="2"/>
      <c r="G20" s="2"/>
      <c r="H20" s="2"/>
      <c r="I20" s="2"/>
      <c r="J20" s="2"/>
      <c r="K20" s="2"/>
    </row>
    <row r="21" spans="1:18" x14ac:dyDescent="0.3">
      <c r="A21" s="33">
        <v>19298</v>
      </c>
      <c r="B21" s="33">
        <v>29271</v>
      </c>
      <c r="C21" s="33">
        <v>19298</v>
      </c>
      <c r="D21" s="33">
        <v>29271</v>
      </c>
      <c r="E21" s="2"/>
      <c r="F21" s="2"/>
      <c r="G21" s="2"/>
      <c r="H21" s="2"/>
      <c r="I21" s="2"/>
      <c r="J21" s="2"/>
      <c r="K21" s="2"/>
    </row>
    <row r="22" spans="1:18" x14ac:dyDescent="0.3">
      <c r="A22" s="33">
        <v>27428</v>
      </c>
      <c r="B22" s="33">
        <v>33863</v>
      </c>
      <c r="C22" s="61">
        <v>26355</v>
      </c>
      <c r="D22" s="33">
        <v>33863</v>
      </c>
      <c r="E22" s="2"/>
      <c r="F22" s="2"/>
      <c r="G22" s="2"/>
      <c r="H22" s="2"/>
      <c r="I22" s="2"/>
      <c r="J22" s="2"/>
      <c r="K22" s="2"/>
    </row>
    <row r="23" spans="1:18" x14ac:dyDescent="0.3">
      <c r="A23" s="33">
        <v>14080</v>
      </c>
      <c r="B23" s="33">
        <v>25103</v>
      </c>
      <c r="C23" s="33">
        <v>14080</v>
      </c>
      <c r="D23" s="33">
        <v>25103</v>
      </c>
      <c r="E23" s="2"/>
      <c r="F23" s="2"/>
      <c r="G23" s="2"/>
      <c r="H23" s="2"/>
      <c r="I23" s="2"/>
      <c r="J23" s="2"/>
      <c r="K23" s="2"/>
    </row>
    <row r="24" spans="1:18" x14ac:dyDescent="0.3">
      <c r="A24" s="33">
        <v>18768</v>
      </c>
      <c r="B24" s="33">
        <v>33673</v>
      </c>
      <c r="C24" s="33">
        <v>18768</v>
      </c>
      <c r="D24" s="33">
        <v>33673</v>
      </c>
      <c r="E24" s="2"/>
      <c r="F24" s="2"/>
      <c r="G24" s="2"/>
      <c r="H24" s="2"/>
      <c r="I24" s="2"/>
      <c r="J24" s="2"/>
      <c r="K24" s="2"/>
    </row>
    <row r="25" spans="1:18" x14ac:dyDescent="0.3">
      <c r="A25" s="33">
        <v>10849</v>
      </c>
      <c r="B25" s="33">
        <v>33673</v>
      </c>
      <c r="C25" s="33">
        <v>10849</v>
      </c>
      <c r="D25" s="33">
        <v>33673</v>
      </c>
      <c r="E25" s="2"/>
      <c r="F25" s="2"/>
      <c r="G25" s="2"/>
      <c r="H25" s="2"/>
      <c r="I25" s="2"/>
      <c r="J25" s="2"/>
      <c r="K25" s="2"/>
    </row>
    <row r="26" spans="1:18" x14ac:dyDescent="0.3">
      <c r="A26" s="33">
        <v>12960</v>
      </c>
      <c r="B26" s="33">
        <v>27323</v>
      </c>
      <c r="C26" s="33">
        <v>12960</v>
      </c>
      <c r="D26" s="33">
        <v>27323</v>
      </c>
      <c r="E26" s="2"/>
      <c r="F26" s="2"/>
      <c r="G26" s="2"/>
      <c r="H26" s="2"/>
      <c r="I26" s="2"/>
      <c r="J26" s="2"/>
      <c r="K26" s="2"/>
    </row>
    <row r="27" spans="1:18" x14ac:dyDescent="0.3">
      <c r="A27" s="33">
        <v>14543</v>
      </c>
      <c r="B27" s="33">
        <v>28345</v>
      </c>
      <c r="C27" s="33">
        <v>14543</v>
      </c>
      <c r="D27" s="33">
        <v>28345</v>
      </c>
      <c r="E27" s="2"/>
      <c r="F27" s="2"/>
      <c r="G27" s="2"/>
      <c r="H27" s="2"/>
      <c r="I27" s="2"/>
      <c r="J27" s="2"/>
      <c r="K27" s="2"/>
    </row>
    <row r="28" spans="1:18" x14ac:dyDescent="0.3">
      <c r="A28" s="33">
        <v>11870</v>
      </c>
      <c r="B28" s="33">
        <v>33673</v>
      </c>
      <c r="C28" s="33">
        <v>11870</v>
      </c>
      <c r="D28" s="33">
        <v>33673</v>
      </c>
      <c r="E28" s="2"/>
      <c r="F28" s="2"/>
      <c r="G28" s="2"/>
      <c r="H28" s="2"/>
      <c r="I28" s="2"/>
      <c r="J28" s="2"/>
      <c r="K28" s="2"/>
    </row>
    <row r="29" spans="1:18" x14ac:dyDescent="0.3">
      <c r="A29" s="33">
        <v>13453</v>
      </c>
      <c r="B29" s="33">
        <v>31138</v>
      </c>
      <c r="C29" s="33">
        <v>13453</v>
      </c>
      <c r="D29" s="33">
        <v>31138</v>
      </c>
      <c r="E29" s="2"/>
      <c r="F29" s="2"/>
      <c r="G29" s="2"/>
      <c r="H29" s="2"/>
      <c r="I29" s="2"/>
      <c r="J29" s="2"/>
      <c r="K29" s="2"/>
    </row>
    <row r="30" spans="1:18" x14ac:dyDescent="0.3">
      <c r="A30" s="33">
        <v>11221</v>
      </c>
      <c r="B30" s="33">
        <v>31483</v>
      </c>
      <c r="C30" s="33">
        <v>11221</v>
      </c>
      <c r="D30" s="33">
        <v>31483</v>
      </c>
      <c r="E30" s="2"/>
      <c r="F30" s="2"/>
      <c r="G30" s="2"/>
      <c r="H30" s="2"/>
      <c r="I30" s="2"/>
      <c r="J30" s="2"/>
      <c r="K30" s="2"/>
    </row>
    <row r="31" spans="1:18" x14ac:dyDescent="0.3">
      <c r="A31" s="33">
        <v>10828</v>
      </c>
      <c r="B31" s="33">
        <v>33386</v>
      </c>
      <c r="C31" s="33">
        <v>10828</v>
      </c>
      <c r="D31" s="33">
        <v>33386</v>
      </c>
      <c r="E31" s="2"/>
      <c r="F31" s="2"/>
      <c r="G31" s="2"/>
      <c r="H31" s="2"/>
      <c r="I31" s="2"/>
      <c r="J31" s="2"/>
      <c r="K31" s="2"/>
    </row>
    <row r="32" spans="1:18" x14ac:dyDescent="0.3">
      <c r="A32" s="33">
        <v>18708</v>
      </c>
      <c r="B32" s="33">
        <v>29749</v>
      </c>
      <c r="C32" s="33">
        <v>18708</v>
      </c>
      <c r="D32" s="33">
        <v>29749</v>
      </c>
      <c r="E32" s="2"/>
      <c r="F32" s="2"/>
      <c r="G32" s="2"/>
      <c r="H32" s="2"/>
      <c r="I32" s="2"/>
      <c r="J32" s="2"/>
      <c r="K32" s="2"/>
    </row>
    <row r="33" spans="1:11" x14ac:dyDescent="0.3">
      <c r="A33" s="33">
        <v>10713</v>
      </c>
      <c r="B33" s="33">
        <v>23210</v>
      </c>
      <c r="C33" s="33">
        <v>10713</v>
      </c>
      <c r="D33" s="33">
        <v>23210</v>
      </c>
      <c r="E33" s="2"/>
      <c r="F33" s="2"/>
      <c r="G33" s="2"/>
      <c r="H33" s="2"/>
      <c r="I33" s="2"/>
      <c r="J33" s="2"/>
      <c r="K33" s="2"/>
    </row>
    <row r="34" spans="1:11" x14ac:dyDescent="0.3">
      <c r="A34" s="33">
        <v>13898</v>
      </c>
      <c r="B34" s="33">
        <v>33062</v>
      </c>
      <c r="C34" s="33">
        <v>13898</v>
      </c>
      <c r="D34" s="33">
        <v>33062</v>
      </c>
      <c r="E34" s="2"/>
      <c r="F34" s="2"/>
      <c r="G34" s="2"/>
      <c r="H34" s="2"/>
      <c r="I34" s="2"/>
      <c r="J34" s="2"/>
      <c r="K34" s="2"/>
    </row>
    <row r="35" spans="1:11" x14ac:dyDescent="0.3">
      <c r="A35" s="33">
        <v>16368</v>
      </c>
      <c r="B35" s="33">
        <v>30444</v>
      </c>
      <c r="C35" s="33">
        <v>16368</v>
      </c>
      <c r="D35" s="33">
        <v>30444</v>
      </c>
      <c r="E35" s="2"/>
      <c r="F35" s="2"/>
      <c r="G35" s="2"/>
      <c r="H35" s="2"/>
      <c r="I35" s="2"/>
      <c r="J35" s="2"/>
      <c r="K35" s="2"/>
    </row>
    <row r="36" spans="1:11" x14ac:dyDescent="0.3">
      <c r="A36" s="33">
        <v>11776</v>
      </c>
      <c r="B36" s="33">
        <v>23623</v>
      </c>
      <c r="C36" s="33">
        <v>11776</v>
      </c>
      <c r="D36" s="33">
        <v>23623</v>
      </c>
      <c r="E36" s="2"/>
      <c r="F36" s="2"/>
      <c r="G36" s="2"/>
      <c r="H36" s="2"/>
      <c r="I36" s="2"/>
      <c r="J36" s="2"/>
      <c r="K36" s="2"/>
    </row>
    <row r="37" spans="1:11" x14ac:dyDescent="0.3">
      <c r="A37" s="33">
        <v>12682</v>
      </c>
      <c r="B37" s="33">
        <v>23752</v>
      </c>
      <c r="C37" s="33">
        <v>12682</v>
      </c>
      <c r="D37" s="33">
        <v>23752</v>
      </c>
      <c r="E37" s="2"/>
      <c r="F37" s="2"/>
      <c r="G37" s="2"/>
      <c r="H37" s="2"/>
      <c r="I37" s="2"/>
      <c r="J37" s="2"/>
      <c r="K37" s="2"/>
    </row>
    <row r="38" spans="1:11" x14ac:dyDescent="0.3">
      <c r="A38" s="33">
        <v>9830</v>
      </c>
      <c r="B38" s="33">
        <v>34473</v>
      </c>
      <c r="C38" s="33">
        <v>9830</v>
      </c>
      <c r="D38" s="33">
        <v>34473</v>
      </c>
      <c r="E38" s="2"/>
      <c r="F38" s="2"/>
      <c r="G38" s="2"/>
      <c r="H38" s="2"/>
      <c r="I38" s="2"/>
      <c r="J38" s="2"/>
      <c r="K38" s="2"/>
    </row>
    <row r="39" spans="1:11" x14ac:dyDescent="0.3">
      <c r="A39" s="33">
        <v>18922</v>
      </c>
      <c r="B39" s="33">
        <v>26615</v>
      </c>
      <c r="C39" s="33">
        <v>18922</v>
      </c>
      <c r="D39" s="33">
        <v>26615</v>
      </c>
      <c r="E39" s="2"/>
      <c r="F39" s="2"/>
      <c r="G39" s="2"/>
      <c r="H39" s="2"/>
      <c r="I39" s="2"/>
      <c r="J39" s="2"/>
      <c r="K39" s="2"/>
    </row>
    <row r="40" spans="1:11" x14ac:dyDescent="0.3">
      <c r="A40" s="33">
        <v>17625</v>
      </c>
      <c r="B40" s="33">
        <v>30803</v>
      </c>
      <c r="C40" s="33">
        <v>17625</v>
      </c>
      <c r="D40" s="33">
        <v>30803</v>
      </c>
      <c r="E40" s="2"/>
      <c r="F40" s="2"/>
      <c r="G40" s="2"/>
      <c r="H40" s="2"/>
      <c r="I40" s="2"/>
      <c r="J40" s="2"/>
      <c r="K40" s="2"/>
    </row>
    <row r="41" spans="1:11" x14ac:dyDescent="0.3">
      <c r="A41" s="33">
        <v>14396</v>
      </c>
      <c r="B41" s="33">
        <v>29833</v>
      </c>
      <c r="C41" s="33">
        <v>14396</v>
      </c>
      <c r="D41" s="33">
        <v>29833</v>
      </c>
      <c r="E41" s="2"/>
      <c r="F41" s="2"/>
      <c r="G41" s="2"/>
      <c r="H41" s="2"/>
      <c r="I41" s="2"/>
      <c r="J41" s="2"/>
      <c r="K41" s="2"/>
    </row>
    <row r="42" spans="1:11" x14ac:dyDescent="0.3">
      <c r="A42" s="33">
        <v>11783</v>
      </c>
      <c r="B42" s="33">
        <v>30934</v>
      </c>
      <c r="C42" s="33">
        <v>11783</v>
      </c>
      <c r="D42" s="33">
        <v>30934</v>
      </c>
      <c r="E42" s="2"/>
      <c r="F42" s="2"/>
      <c r="G42" s="2"/>
      <c r="H42" s="2"/>
      <c r="I42" s="2"/>
      <c r="J42" s="2"/>
      <c r="K42" s="2"/>
    </row>
    <row r="43" spans="1:11" x14ac:dyDescent="0.3">
      <c r="A43" s="33">
        <v>12457</v>
      </c>
      <c r="B43" s="33">
        <v>34021</v>
      </c>
      <c r="C43" s="33">
        <v>12457</v>
      </c>
      <c r="D43" s="33">
        <v>34021</v>
      </c>
      <c r="E43" s="2"/>
      <c r="F43" s="2"/>
      <c r="G43" s="2"/>
      <c r="H43" s="2"/>
      <c r="I43" s="2"/>
      <c r="J43" s="2"/>
      <c r="K43" s="2"/>
    </row>
    <row r="44" spans="1:11" x14ac:dyDescent="0.3">
      <c r="A44" s="33">
        <v>19439</v>
      </c>
      <c r="B44" s="33">
        <v>22800</v>
      </c>
      <c r="C44" s="33">
        <v>19439</v>
      </c>
      <c r="D44" s="33">
        <v>22800</v>
      </c>
      <c r="E44" s="2"/>
      <c r="F44" s="2"/>
      <c r="G44" s="2"/>
      <c r="H44" s="2"/>
      <c r="I44" s="2"/>
      <c r="J44" s="2"/>
      <c r="K44" s="2"/>
    </row>
    <row r="45" spans="1:11" x14ac:dyDescent="0.3">
      <c r="A45" s="33">
        <v>11720</v>
      </c>
      <c r="B45" s="33">
        <v>31349</v>
      </c>
      <c r="C45" s="33">
        <v>11720</v>
      </c>
      <c r="D45" s="33">
        <v>31349</v>
      </c>
      <c r="E45" s="2"/>
      <c r="F45" s="2"/>
      <c r="G45" s="2"/>
      <c r="H45" s="2"/>
      <c r="I45" s="2"/>
      <c r="J45" s="2"/>
      <c r="K45" s="2"/>
    </row>
    <row r="46" spans="1:11" x14ac:dyDescent="0.3">
      <c r="A46" s="33">
        <v>9919</v>
      </c>
      <c r="B46" s="33">
        <v>23141</v>
      </c>
      <c r="C46" s="33">
        <v>9919</v>
      </c>
      <c r="D46" s="33">
        <v>23141</v>
      </c>
      <c r="E46" s="2"/>
      <c r="F46" s="2"/>
      <c r="G46" s="2"/>
      <c r="H46" s="2"/>
      <c r="I46" s="2"/>
      <c r="J46" s="2"/>
      <c r="K46" s="2"/>
    </row>
    <row r="47" spans="1:11" x14ac:dyDescent="0.3">
      <c r="A47" s="33">
        <v>10189</v>
      </c>
      <c r="B47" s="33">
        <v>31017</v>
      </c>
      <c r="C47" s="33">
        <v>10189</v>
      </c>
      <c r="D47" s="33">
        <v>31017</v>
      </c>
      <c r="E47" s="2"/>
      <c r="F47" s="2"/>
      <c r="G47" s="2"/>
      <c r="H47" s="2"/>
      <c r="I47" s="2"/>
      <c r="J47" s="2"/>
      <c r="K47" s="2"/>
    </row>
    <row r="48" spans="1:11" x14ac:dyDescent="0.3">
      <c r="A48" s="33">
        <v>17272</v>
      </c>
      <c r="B48" s="33">
        <v>30446</v>
      </c>
      <c r="C48" s="33">
        <v>17272</v>
      </c>
      <c r="D48" s="33">
        <v>30446</v>
      </c>
      <c r="E48" s="2"/>
      <c r="F48" s="2"/>
      <c r="G48" s="2"/>
      <c r="H48" s="2"/>
      <c r="I48" s="2"/>
      <c r="J48" s="2"/>
      <c r="K48" s="2"/>
    </row>
    <row r="49" spans="1:11" x14ac:dyDescent="0.3">
      <c r="A49" s="33">
        <v>16084</v>
      </c>
      <c r="B49" s="33">
        <v>29680</v>
      </c>
      <c r="C49" s="33">
        <v>16084</v>
      </c>
      <c r="D49" s="33">
        <v>29680</v>
      </c>
      <c r="E49" s="2"/>
      <c r="F49" s="2"/>
      <c r="G49" s="2"/>
      <c r="H49" s="2"/>
      <c r="I49" s="2"/>
      <c r="J49" s="2"/>
      <c r="K49" s="2"/>
    </row>
    <row r="50" spans="1:11" x14ac:dyDescent="0.3">
      <c r="A50" s="33">
        <v>19384</v>
      </c>
      <c r="B50" s="33">
        <v>34299</v>
      </c>
      <c r="C50" s="33">
        <v>19384</v>
      </c>
      <c r="D50" s="33">
        <v>34299</v>
      </c>
      <c r="E50" s="2"/>
      <c r="F50" s="2"/>
      <c r="G50" s="2"/>
      <c r="H50" s="2"/>
      <c r="I50" s="2"/>
      <c r="J50" s="2"/>
      <c r="K50" s="2"/>
    </row>
    <row r="51" spans="1:11" x14ac:dyDescent="0.3">
      <c r="A51" s="33">
        <v>10998</v>
      </c>
      <c r="B51" s="33">
        <v>31147</v>
      </c>
      <c r="C51" s="33">
        <v>10998</v>
      </c>
      <c r="D51" s="33">
        <v>31147</v>
      </c>
      <c r="E51" s="2"/>
      <c r="F51" s="2"/>
      <c r="G51" s="2"/>
      <c r="H51" s="2"/>
      <c r="I51" s="2"/>
      <c r="J51" s="2"/>
      <c r="K51" s="2"/>
    </row>
    <row r="52" spans="1:11" x14ac:dyDescent="0.3">
      <c r="A52" s="33">
        <v>11057</v>
      </c>
      <c r="B52" s="33">
        <v>33961</v>
      </c>
      <c r="C52" s="33">
        <v>11057</v>
      </c>
      <c r="D52" s="33">
        <v>33961</v>
      </c>
      <c r="E52" s="2"/>
      <c r="F52" s="2"/>
      <c r="G52" s="2"/>
      <c r="H52" s="2"/>
      <c r="I52" s="2"/>
      <c r="J52" s="2"/>
      <c r="K52" s="2"/>
    </row>
    <row r="53" spans="1:11" x14ac:dyDescent="0.3">
      <c r="A53" s="33">
        <v>9837</v>
      </c>
      <c r="B53" s="33">
        <v>20770</v>
      </c>
      <c r="C53" s="33">
        <v>9837</v>
      </c>
      <c r="D53" s="33">
        <v>20770</v>
      </c>
      <c r="E53" s="2"/>
      <c r="F53" s="2"/>
      <c r="G53" s="2"/>
      <c r="H53" s="2"/>
      <c r="I53" s="2"/>
      <c r="J53" s="2"/>
      <c r="K53" s="2"/>
    </row>
    <row r="54" spans="1:11" x14ac:dyDescent="0.3">
      <c r="A54" s="33">
        <v>17777</v>
      </c>
      <c r="B54" s="33">
        <v>29350</v>
      </c>
      <c r="C54" s="33">
        <v>17777</v>
      </c>
      <c r="D54" s="33">
        <v>29350</v>
      </c>
      <c r="E54" s="2"/>
      <c r="F54" s="2"/>
      <c r="G54" s="2"/>
      <c r="H54" s="2"/>
      <c r="I54" s="2"/>
      <c r="J54" s="2"/>
      <c r="K54" s="2"/>
    </row>
    <row r="55" spans="1:11" x14ac:dyDescent="0.3">
      <c r="A55" s="33">
        <v>14077</v>
      </c>
      <c r="B55" s="33">
        <v>26100</v>
      </c>
      <c r="C55" s="33">
        <v>14077</v>
      </c>
      <c r="D55" s="33">
        <v>26100</v>
      </c>
      <c r="E55" s="2"/>
      <c r="F55" s="2"/>
      <c r="G55" s="2"/>
      <c r="H55" s="2"/>
      <c r="I55" s="2"/>
      <c r="J55" s="2"/>
      <c r="K55" s="2"/>
    </row>
    <row r="56" spans="1:11" x14ac:dyDescent="0.3">
      <c r="A56" s="33">
        <v>17340</v>
      </c>
      <c r="B56" s="33">
        <v>23487</v>
      </c>
      <c r="C56" s="33">
        <v>17340</v>
      </c>
      <c r="D56" s="33">
        <v>23487</v>
      </c>
      <c r="E56" s="2"/>
      <c r="F56" s="2"/>
      <c r="G56" s="2"/>
      <c r="H56" s="2"/>
      <c r="I56" s="2"/>
      <c r="J56" s="2"/>
      <c r="K56" s="2"/>
    </row>
    <row r="57" spans="1:11" x14ac:dyDescent="0.3">
      <c r="A57" s="33">
        <v>19230</v>
      </c>
      <c r="B57" s="33">
        <v>20977</v>
      </c>
      <c r="C57" s="33">
        <v>19230</v>
      </c>
      <c r="D57" s="33">
        <v>20977</v>
      </c>
      <c r="E57" s="2"/>
      <c r="F57" s="2"/>
      <c r="G57" s="2"/>
      <c r="H57" s="2"/>
      <c r="I57" s="2"/>
      <c r="J57" s="2"/>
      <c r="K57" s="2"/>
    </row>
    <row r="58" spans="1:11" x14ac:dyDescent="0.3">
      <c r="A58" s="33">
        <v>12498</v>
      </c>
      <c r="B58" s="33">
        <v>33555</v>
      </c>
      <c r="C58" s="33">
        <v>12498</v>
      </c>
      <c r="D58" s="33">
        <v>33555</v>
      </c>
      <c r="E58" s="2"/>
      <c r="F58" s="2"/>
      <c r="G58" s="2"/>
      <c r="H58" s="2"/>
      <c r="I58" s="2"/>
      <c r="J58" s="2"/>
      <c r="K58" s="2"/>
    </row>
    <row r="59" spans="1:11" x14ac:dyDescent="0.3">
      <c r="A59" s="33">
        <v>12032</v>
      </c>
      <c r="B59" s="33">
        <v>21427</v>
      </c>
      <c r="C59" s="33">
        <v>12032</v>
      </c>
      <c r="D59" s="33">
        <v>21427</v>
      </c>
      <c r="E59" s="2"/>
      <c r="F59" s="2"/>
      <c r="G59" s="2"/>
      <c r="H59" s="2"/>
      <c r="I59" s="2"/>
      <c r="J59" s="2"/>
      <c r="K59" s="2"/>
    </row>
    <row r="60" spans="1:11" x14ac:dyDescent="0.3">
      <c r="A60" s="33">
        <v>16592</v>
      </c>
      <c r="B60" s="33">
        <v>34543</v>
      </c>
      <c r="C60" s="33">
        <v>16592</v>
      </c>
      <c r="D60" s="33">
        <v>34543</v>
      </c>
      <c r="E60" s="2"/>
      <c r="F60" s="2"/>
      <c r="G60" s="2"/>
      <c r="H60" s="2"/>
      <c r="I60" s="2"/>
      <c r="J60" s="2"/>
      <c r="K60" s="2"/>
    </row>
    <row r="61" spans="1:11" x14ac:dyDescent="0.3">
      <c r="A61" s="33">
        <v>9785</v>
      </c>
      <c r="B61" s="33">
        <v>30459</v>
      </c>
      <c r="C61" s="33">
        <v>9785</v>
      </c>
      <c r="D61" s="33">
        <v>30459</v>
      </c>
      <c r="E61" s="2"/>
      <c r="F61" s="2"/>
      <c r="G61" s="2"/>
      <c r="H61" s="2"/>
      <c r="I61" s="2"/>
      <c r="J61" s="2"/>
      <c r="K61" s="2"/>
    </row>
    <row r="62" spans="1:11" x14ac:dyDescent="0.3">
      <c r="A62" s="33">
        <v>13500</v>
      </c>
      <c r="B62" s="33">
        <v>28288</v>
      </c>
      <c r="C62" s="33">
        <v>13500</v>
      </c>
      <c r="D62" s="33">
        <v>28288</v>
      </c>
      <c r="E62" s="2"/>
      <c r="F62" s="2"/>
      <c r="G62" s="2"/>
      <c r="H62" s="2"/>
      <c r="I62" s="2"/>
      <c r="J62" s="2"/>
      <c r="K62" s="2"/>
    </row>
    <row r="63" spans="1:11" x14ac:dyDescent="0.3">
      <c r="A63" s="33">
        <v>12039</v>
      </c>
      <c r="B63" s="33">
        <v>26849</v>
      </c>
      <c r="C63" s="33">
        <v>12039</v>
      </c>
      <c r="D63" s="33">
        <v>26849</v>
      </c>
      <c r="E63" s="2"/>
      <c r="F63" s="2"/>
      <c r="G63" s="2"/>
      <c r="H63" s="2"/>
      <c r="I63" s="2"/>
      <c r="J63" s="2"/>
      <c r="K63" s="2"/>
    </row>
    <row r="64" spans="1:11" x14ac:dyDescent="0.3">
      <c r="A64" s="33">
        <v>9015</v>
      </c>
      <c r="B64" s="33">
        <v>33074</v>
      </c>
      <c r="C64" s="33">
        <v>9015</v>
      </c>
      <c r="D64" s="33">
        <v>33074</v>
      </c>
      <c r="E64" s="2"/>
      <c r="F64" s="2"/>
      <c r="G64" s="2"/>
      <c r="H64" s="2"/>
      <c r="I64" s="2"/>
      <c r="J64" s="2"/>
      <c r="K64" s="2"/>
    </row>
    <row r="65" spans="1:11" x14ac:dyDescent="0.3">
      <c r="A65" s="33">
        <v>10921</v>
      </c>
      <c r="B65" s="33">
        <v>28327</v>
      </c>
      <c r="C65" s="33">
        <v>10921</v>
      </c>
      <c r="D65" s="33">
        <v>28327</v>
      </c>
      <c r="E65" s="2"/>
      <c r="F65" s="2"/>
      <c r="G65" s="2"/>
      <c r="H65" s="2"/>
      <c r="I65" s="2"/>
      <c r="J65" s="2"/>
      <c r="K65" s="2"/>
    </row>
    <row r="66" spans="1:11" x14ac:dyDescent="0.3">
      <c r="A66" s="33">
        <v>14844</v>
      </c>
      <c r="B66" s="33">
        <v>27032</v>
      </c>
      <c r="C66" s="33">
        <v>14844</v>
      </c>
      <c r="D66" s="33">
        <v>27032</v>
      </c>
      <c r="E66" s="2"/>
      <c r="F66" s="2"/>
      <c r="G66" s="2"/>
      <c r="H66" s="2"/>
      <c r="I66" s="2"/>
      <c r="J66" s="2"/>
      <c r="K66" s="2"/>
    </row>
    <row r="67" spans="1:11" x14ac:dyDescent="0.3">
      <c r="A67" s="33">
        <v>19352</v>
      </c>
      <c r="B67" s="33">
        <v>22394</v>
      </c>
      <c r="C67" s="33">
        <v>19352</v>
      </c>
      <c r="D67" s="33">
        <v>22394</v>
      </c>
      <c r="E67" s="2"/>
      <c r="F67" s="2"/>
      <c r="G67" s="2"/>
      <c r="H67" s="2"/>
      <c r="I67" s="2"/>
      <c r="J67" s="2"/>
      <c r="K67" s="2"/>
    </row>
    <row r="68" spans="1:11" x14ac:dyDescent="0.3">
      <c r="A68" s="33">
        <v>8040</v>
      </c>
      <c r="B68" s="33">
        <v>27899</v>
      </c>
      <c r="C68" s="33">
        <v>8040</v>
      </c>
      <c r="D68" s="33">
        <v>27899</v>
      </c>
      <c r="E68" s="2"/>
      <c r="F68" s="2"/>
      <c r="G68" s="2"/>
      <c r="H68" s="2"/>
      <c r="I68" s="2"/>
      <c r="J68" s="2"/>
      <c r="K68" s="2"/>
    </row>
    <row r="69" spans="1:11" x14ac:dyDescent="0.3">
      <c r="A69" s="33">
        <v>15147</v>
      </c>
      <c r="B69" s="33">
        <v>20459</v>
      </c>
      <c r="C69" s="33">
        <v>15147</v>
      </c>
      <c r="D69" s="33">
        <v>20459</v>
      </c>
      <c r="E69" s="2"/>
      <c r="F69" s="2"/>
      <c r="G69" s="2"/>
      <c r="H69" s="2"/>
      <c r="I69" s="2"/>
      <c r="J69" s="2"/>
      <c r="K69" s="2"/>
    </row>
    <row r="70" spans="1:11" x14ac:dyDescent="0.3">
      <c r="A70" s="33">
        <v>26493</v>
      </c>
      <c r="B70" s="33">
        <v>27272</v>
      </c>
      <c r="C70" s="61">
        <v>26355</v>
      </c>
      <c r="D70" s="33">
        <v>27272</v>
      </c>
      <c r="E70" s="2"/>
      <c r="F70" s="2"/>
      <c r="G70" s="2"/>
      <c r="H70" s="2"/>
      <c r="I70" s="2"/>
      <c r="J70" s="2"/>
      <c r="K70" s="2"/>
    </row>
    <row r="71" spans="1:11" x14ac:dyDescent="0.3">
      <c r="A71" s="33">
        <v>12665</v>
      </c>
      <c r="B71" s="33">
        <v>24503</v>
      </c>
      <c r="C71" s="33">
        <v>12665</v>
      </c>
      <c r="D71" s="33">
        <v>24503</v>
      </c>
      <c r="E71" s="2"/>
      <c r="F71" s="2"/>
      <c r="G71" s="2"/>
      <c r="H71" s="2"/>
      <c r="I71" s="2"/>
      <c r="J71" s="2"/>
      <c r="K71" s="2"/>
    </row>
    <row r="72" spans="1:11" x14ac:dyDescent="0.3">
      <c r="A72" s="33">
        <v>15050</v>
      </c>
      <c r="B72" s="33">
        <v>32531</v>
      </c>
      <c r="C72" s="33">
        <v>15050</v>
      </c>
      <c r="D72" s="33">
        <v>32531</v>
      </c>
      <c r="E72" s="2"/>
      <c r="F72" s="2"/>
      <c r="G72" s="2"/>
      <c r="H72" s="2"/>
      <c r="I72" s="2"/>
      <c r="J72" s="2"/>
      <c r="K72" s="2"/>
    </row>
    <row r="73" spans="1:11" x14ac:dyDescent="0.3">
      <c r="A73" s="33">
        <v>10239</v>
      </c>
      <c r="B73" s="33">
        <v>25455</v>
      </c>
      <c r="C73" s="33">
        <v>10239</v>
      </c>
      <c r="D73" s="33">
        <v>25455</v>
      </c>
      <c r="E73" s="2"/>
      <c r="F73" s="2"/>
      <c r="G73" s="2"/>
      <c r="H73" s="2"/>
      <c r="I73" s="2"/>
      <c r="J73" s="2"/>
      <c r="K73" s="2"/>
    </row>
    <row r="74" spans="1:11" x14ac:dyDescent="0.3">
      <c r="A74" s="33">
        <v>17150</v>
      </c>
      <c r="B74" s="33">
        <v>24998</v>
      </c>
      <c r="C74" s="33">
        <v>17150</v>
      </c>
      <c r="D74" s="33">
        <v>24998</v>
      </c>
      <c r="E74" s="2"/>
      <c r="F74" s="2"/>
      <c r="G74" s="2"/>
      <c r="H74" s="2"/>
      <c r="I74" s="2"/>
      <c r="J74" s="2"/>
      <c r="K74" s="2"/>
    </row>
    <row r="75" spans="1:11" x14ac:dyDescent="0.3">
      <c r="A75" s="33">
        <v>19805</v>
      </c>
      <c r="B75" s="33">
        <v>28972</v>
      </c>
      <c r="C75" s="33">
        <v>19805</v>
      </c>
      <c r="D75" s="33">
        <v>28972</v>
      </c>
      <c r="E75" s="2"/>
      <c r="F75" s="2"/>
      <c r="G75" s="2"/>
      <c r="H75" s="2"/>
      <c r="I75" s="2"/>
      <c r="J75" s="2"/>
      <c r="K75" s="2"/>
    </row>
    <row r="76" spans="1:11" x14ac:dyDescent="0.3">
      <c r="A76" s="33">
        <v>17328</v>
      </c>
      <c r="B76" s="33">
        <v>22079</v>
      </c>
      <c r="C76" s="33">
        <v>17328</v>
      </c>
      <c r="D76" s="33">
        <v>22079</v>
      </c>
      <c r="E76" s="2"/>
      <c r="F76" s="2"/>
      <c r="G76" s="2"/>
      <c r="H76" s="2"/>
      <c r="I76" s="2"/>
      <c r="J76" s="2"/>
      <c r="K76" s="2"/>
    </row>
    <row r="77" spans="1:11" x14ac:dyDescent="0.3">
      <c r="A77" s="33">
        <v>12529</v>
      </c>
      <c r="B77" s="33">
        <v>23427</v>
      </c>
      <c r="C77" s="33">
        <v>12529</v>
      </c>
      <c r="D77" s="33">
        <v>23427</v>
      </c>
      <c r="E77" s="2"/>
      <c r="F77" s="2"/>
      <c r="G77" s="2"/>
      <c r="H77" s="2"/>
      <c r="I77" s="2"/>
      <c r="J77" s="2"/>
      <c r="K77" s="2"/>
    </row>
    <row r="78" spans="1:11" x14ac:dyDescent="0.3">
      <c r="A78" s="33">
        <v>9200</v>
      </c>
      <c r="B78" s="33">
        <v>22409</v>
      </c>
      <c r="C78" s="33">
        <v>9200</v>
      </c>
      <c r="D78" s="33">
        <v>22409</v>
      </c>
      <c r="E78" s="2"/>
      <c r="F78" s="2"/>
      <c r="G78" s="2"/>
      <c r="H78" s="2"/>
      <c r="I78" s="2"/>
      <c r="J78" s="2"/>
      <c r="K78" s="2"/>
    </row>
    <row r="79" spans="1:11" x14ac:dyDescent="0.3">
      <c r="A79" s="33">
        <v>18667</v>
      </c>
      <c r="B79" s="33">
        <v>20279</v>
      </c>
      <c r="C79" s="33">
        <v>18667</v>
      </c>
      <c r="D79" s="33">
        <v>20279</v>
      </c>
      <c r="E79" s="2"/>
      <c r="F79" s="2"/>
      <c r="G79" s="2"/>
      <c r="H79" s="2"/>
      <c r="I79" s="2"/>
      <c r="J79" s="2"/>
      <c r="K79" s="2"/>
    </row>
    <row r="80" spans="1:11" x14ac:dyDescent="0.3">
      <c r="A80" s="33">
        <v>15532</v>
      </c>
      <c r="B80" s="33">
        <v>34142</v>
      </c>
      <c r="C80" s="33">
        <v>15532</v>
      </c>
      <c r="D80" s="33">
        <v>34142</v>
      </c>
      <c r="E80" s="2"/>
      <c r="F80" s="2"/>
      <c r="G80" s="2"/>
      <c r="H80" s="2"/>
      <c r="I80" s="2"/>
      <c r="J80" s="2"/>
      <c r="K80" s="2"/>
    </row>
    <row r="81" spans="1:11" x14ac:dyDescent="0.3">
      <c r="A81" s="33">
        <v>10255</v>
      </c>
      <c r="B81" s="33">
        <v>25309</v>
      </c>
      <c r="C81" s="33">
        <v>10255</v>
      </c>
      <c r="D81" s="33">
        <v>25309</v>
      </c>
      <c r="E81" s="2"/>
      <c r="F81" s="2"/>
      <c r="G81" s="2"/>
      <c r="H81" s="2"/>
      <c r="I81" s="2"/>
      <c r="J81" s="2"/>
      <c r="K81" s="2"/>
    </row>
    <row r="82" spans="1:11" x14ac:dyDescent="0.3">
      <c r="A82" s="33">
        <v>11269</v>
      </c>
      <c r="B82" s="33">
        <v>34719</v>
      </c>
      <c r="C82" s="33">
        <v>11269</v>
      </c>
      <c r="D82" s="33">
        <v>34719</v>
      </c>
      <c r="E82" s="2"/>
      <c r="F82" s="2"/>
      <c r="G82" s="2"/>
      <c r="H82" s="2"/>
      <c r="I82" s="2"/>
      <c r="J82" s="2"/>
      <c r="K82" s="2"/>
    </row>
    <row r="83" spans="1:11" x14ac:dyDescent="0.3">
      <c r="A83" s="33">
        <v>14029</v>
      </c>
      <c r="B83" s="33">
        <v>24339</v>
      </c>
      <c r="C83" s="33">
        <v>14029</v>
      </c>
      <c r="D83" s="33">
        <v>24339</v>
      </c>
      <c r="E83" s="2"/>
      <c r="F83" s="2"/>
      <c r="G83" s="2"/>
      <c r="H83" s="2"/>
      <c r="I83" s="2"/>
      <c r="J83" s="2"/>
      <c r="K83" s="2"/>
    </row>
    <row r="84" spans="1:11" x14ac:dyDescent="0.3">
      <c r="A84" s="33">
        <v>10841</v>
      </c>
      <c r="B84" s="33">
        <v>33028</v>
      </c>
      <c r="C84" s="33">
        <v>10841</v>
      </c>
      <c r="D84" s="33">
        <v>33028</v>
      </c>
      <c r="E84" s="2"/>
      <c r="F84" s="2"/>
      <c r="G84" s="2"/>
      <c r="H84" s="2"/>
      <c r="I84" s="2"/>
      <c r="J84" s="2"/>
      <c r="K84" s="2"/>
    </row>
    <row r="85" spans="1:11" x14ac:dyDescent="0.3">
      <c r="A85" s="33">
        <v>9659</v>
      </c>
      <c r="B85" s="33">
        <v>24445</v>
      </c>
      <c r="C85" s="33">
        <v>9659</v>
      </c>
      <c r="D85" s="33">
        <v>24445</v>
      </c>
      <c r="E85" s="2"/>
      <c r="F85" s="2"/>
      <c r="G85" s="2"/>
      <c r="H85" s="2"/>
      <c r="I85" s="2"/>
      <c r="J85" s="2"/>
      <c r="K85" s="2"/>
    </row>
    <row r="86" spans="1:11" x14ac:dyDescent="0.3">
      <c r="A86" s="33">
        <v>17412</v>
      </c>
      <c r="B86" s="33">
        <v>30830</v>
      </c>
      <c r="C86" s="33">
        <v>17412</v>
      </c>
      <c r="D86" s="33">
        <v>30830</v>
      </c>
      <c r="E86" s="2"/>
      <c r="F86" s="2"/>
      <c r="G86" s="2"/>
      <c r="H86" s="2"/>
      <c r="I86" s="2"/>
      <c r="J86" s="2"/>
      <c r="K86" s="2"/>
    </row>
    <row r="87" spans="1:11" x14ac:dyDescent="0.3">
      <c r="A87" s="33">
        <v>9050</v>
      </c>
      <c r="B87" s="33">
        <v>25222</v>
      </c>
      <c r="C87" s="33">
        <v>9050</v>
      </c>
      <c r="D87" s="33">
        <v>25222</v>
      </c>
      <c r="E87" s="2"/>
      <c r="F87" s="2"/>
      <c r="G87" s="2"/>
      <c r="H87" s="2"/>
      <c r="I87" s="2"/>
      <c r="J87" s="2"/>
      <c r="K87" s="2"/>
    </row>
    <row r="88" spans="1:11" x14ac:dyDescent="0.3">
      <c r="A88" s="33">
        <v>10317</v>
      </c>
      <c r="B88" s="33">
        <v>29450</v>
      </c>
      <c r="C88" s="33">
        <v>10317</v>
      </c>
      <c r="D88" s="33">
        <v>29450</v>
      </c>
      <c r="E88" s="2"/>
      <c r="F88" s="2"/>
      <c r="G88" s="2"/>
      <c r="H88" s="2"/>
      <c r="I88" s="2"/>
      <c r="J88" s="2"/>
      <c r="K88" s="2"/>
    </row>
    <row r="89" spans="1:11" x14ac:dyDescent="0.3">
      <c r="A89" s="33">
        <v>10526</v>
      </c>
      <c r="B89" s="33">
        <v>20031</v>
      </c>
      <c r="C89" s="33">
        <v>10526</v>
      </c>
      <c r="D89" s="33">
        <v>20031</v>
      </c>
      <c r="E89" s="2"/>
      <c r="F89" s="2"/>
      <c r="G89" s="2"/>
      <c r="H89" s="2"/>
      <c r="I89" s="2"/>
      <c r="J89" s="2"/>
      <c r="K89" s="2"/>
    </row>
    <row r="90" spans="1:11" x14ac:dyDescent="0.3">
      <c r="A90" s="33">
        <v>13144</v>
      </c>
      <c r="B90" s="33">
        <v>21218</v>
      </c>
      <c r="C90" s="33">
        <v>13144</v>
      </c>
      <c r="D90" s="33">
        <v>21218</v>
      </c>
      <c r="E90" s="2"/>
      <c r="F90" s="2"/>
      <c r="G90" s="2"/>
      <c r="H90" s="2"/>
      <c r="I90" s="2"/>
      <c r="J90" s="2"/>
      <c r="K90" s="2"/>
    </row>
    <row r="91" spans="1:11" x14ac:dyDescent="0.3">
      <c r="A91" s="33">
        <v>19742</v>
      </c>
      <c r="B91" s="33">
        <v>34961</v>
      </c>
      <c r="C91" s="33">
        <v>19742</v>
      </c>
      <c r="D91" s="33">
        <v>34961</v>
      </c>
      <c r="E91" s="2"/>
      <c r="F91" s="2"/>
      <c r="G91" s="2"/>
      <c r="H91" s="2"/>
      <c r="I91" s="2"/>
      <c r="J91" s="2"/>
      <c r="K91" s="2"/>
    </row>
    <row r="92" spans="1:11" x14ac:dyDescent="0.3">
      <c r="A92" s="33">
        <v>14780</v>
      </c>
      <c r="B92" s="33">
        <v>23877</v>
      </c>
      <c r="C92" s="33">
        <v>14780</v>
      </c>
      <c r="D92" s="33">
        <v>23877</v>
      </c>
      <c r="E92" s="2"/>
      <c r="F92" s="2"/>
      <c r="G92" s="2"/>
      <c r="H92" s="2"/>
      <c r="I92" s="2"/>
      <c r="J92" s="2"/>
      <c r="K92" s="2"/>
    </row>
    <row r="93" spans="1:11" x14ac:dyDescent="0.3">
      <c r="A93" s="33">
        <v>9952</v>
      </c>
      <c r="B93" s="33">
        <v>24137</v>
      </c>
      <c r="C93" s="33">
        <v>9952</v>
      </c>
      <c r="D93" s="33">
        <v>24137</v>
      </c>
      <c r="E93" s="2"/>
      <c r="F93" s="2"/>
      <c r="G93" s="2"/>
      <c r="H93" s="2"/>
      <c r="I93" s="2"/>
      <c r="J93" s="2"/>
      <c r="K93" s="2"/>
    </row>
    <row r="94" spans="1:11" x14ac:dyDescent="0.3">
      <c r="A94" s="33">
        <v>9674</v>
      </c>
      <c r="B94" s="33">
        <v>22399</v>
      </c>
      <c r="C94" s="33">
        <v>9674</v>
      </c>
      <c r="D94" s="33">
        <v>22399</v>
      </c>
      <c r="E94" s="2"/>
      <c r="F94" s="2"/>
      <c r="G94" s="2"/>
      <c r="H94" s="2"/>
      <c r="I94" s="2"/>
      <c r="J94" s="2"/>
      <c r="K94" s="2"/>
    </row>
    <row r="95" spans="1:11" x14ac:dyDescent="0.3">
      <c r="A95" s="33">
        <v>16059</v>
      </c>
      <c r="B95" s="33">
        <v>20226</v>
      </c>
      <c r="C95" s="33">
        <v>16059</v>
      </c>
      <c r="D95" s="33">
        <v>20226</v>
      </c>
      <c r="E95" s="2"/>
      <c r="F95" s="2"/>
      <c r="G95" s="2"/>
      <c r="H95" s="2"/>
      <c r="I95" s="2"/>
      <c r="J95" s="2"/>
      <c r="K95" s="2"/>
    </row>
    <row r="96" spans="1:11" x14ac:dyDescent="0.3">
      <c r="A96" s="33">
        <v>13652</v>
      </c>
      <c r="B96" s="33">
        <v>34353</v>
      </c>
      <c r="C96" s="33">
        <v>13652</v>
      </c>
      <c r="D96" s="33">
        <v>34353</v>
      </c>
      <c r="E96" s="2"/>
      <c r="F96" s="2"/>
      <c r="G96" s="2"/>
      <c r="H96" s="2"/>
      <c r="I96" s="2"/>
      <c r="J96" s="2"/>
      <c r="K96" s="2"/>
    </row>
    <row r="97" spans="1:11" x14ac:dyDescent="0.3">
      <c r="A97" s="33">
        <v>9941</v>
      </c>
      <c r="B97" s="33">
        <v>24626</v>
      </c>
      <c r="C97" s="33">
        <v>9941</v>
      </c>
      <c r="D97" s="33">
        <v>24626</v>
      </c>
      <c r="E97" s="2"/>
      <c r="F97" s="2"/>
      <c r="G97" s="2"/>
      <c r="H97" s="2"/>
      <c r="I97" s="2"/>
      <c r="J97" s="2"/>
      <c r="K97" s="2"/>
    </row>
    <row r="98" spans="1:11" x14ac:dyDescent="0.3">
      <c r="A98" s="33">
        <v>13685</v>
      </c>
      <c r="B98" s="33">
        <v>24422</v>
      </c>
      <c r="C98" s="33">
        <v>13685</v>
      </c>
      <c r="D98" s="33">
        <v>24422</v>
      </c>
      <c r="E98" s="2"/>
      <c r="F98" s="2"/>
      <c r="G98" s="2"/>
      <c r="H98" s="2"/>
      <c r="I98" s="2"/>
      <c r="J98" s="2"/>
      <c r="K98" s="2"/>
    </row>
    <row r="99" spans="1:11" x14ac:dyDescent="0.3">
      <c r="A99" s="33">
        <v>17053</v>
      </c>
      <c r="B99" s="33">
        <v>22596</v>
      </c>
      <c r="C99" s="33">
        <v>17053</v>
      </c>
      <c r="D99" s="33">
        <v>22596</v>
      </c>
      <c r="E99" s="2"/>
      <c r="F99" s="2"/>
      <c r="G99" s="2"/>
      <c r="H99" s="2"/>
      <c r="I99" s="2"/>
      <c r="J99" s="2"/>
      <c r="K99" s="2"/>
    </row>
    <row r="100" spans="1:11" x14ac:dyDescent="0.3">
      <c r="A100" s="33">
        <v>16797</v>
      </c>
      <c r="B100" s="33">
        <v>28043</v>
      </c>
      <c r="C100" s="33">
        <v>16797</v>
      </c>
      <c r="D100" s="33">
        <v>28043</v>
      </c>
      <c r="E100" s="2"/>
      <c r="F100" s="2"/>
      <c r="G100" s="2"/>
      <c r="H100" s="2"/>
      <c r="I100" s="2"/>
      <c r="J100" s="2"/>
      <c r="K100" s="2"/>
    </row>
    <row r="101" spans="1:11" x14ac:dyDescent="0.3">
      <c r="A101" s="33">
        <v>11220</v>
      </c>
      <c r="B101" s="33">
        <v>23206</v>
      </c>
      <c r="C101" s="33">
        <v>11220</v>
      </c>
      <c r="D101" s="33">
        <v>23206</v>
      </c>
      <c r="E101" s="2"/>
      <c r="F101" s="2"/>
      <c r="G101" s="2"/>
      <c r="H101" s="2"/>
      <c r="I101" s="2"/>
      <c r="J101" s="2"/>
      <c r="K101" s="2"/>
    </row>
    <row r="102" spans="1:11" x14ac:dyDescent="0.3">
      <c r="A102" s="33">
        <v>14880</v>
      </c>
      <c r="B102" s="33">
        <v>28299</v>
      </c>
      <c r="C102" s="33">
        <v>14880</v>
      </c>
      <c r="D102" s="33">
        <v>28299</v>
      </c>
      <c r="E102" s="2"/>
      <c r="F102" s="2"/>
      <c r="G102" s="2"/>
      <c r="H102" s="2"/>
      <c r="I102" s="2"/>
      <c r="J102" s="2"/>
      <c r="K102" s="2"/>
    </row>
    <row r="103" spans="1:11" x14ac:dyDescent="0.3">
      <c r="A103" s="33">
        <v>12861</v>
      </c>
      <c r="B103" s="33">
        <v>32890</v>
      </c>
      <c r="C103" s="33">
        <v>12861</v>
      </c>
      <c r="D103" s="33">
        <v>32890</v>
      </c>
      <c r="E103" s="2"/>
      <c r="F103" s="2"/>
      <c r="G103" s="2"/>
      <c r="H103" s="2"/>
      <c r="I103" s="2"/>
      <c r="J103" s="2"/>
      <c r="K103" s="2"/>
    </row>
    <row r="104" spans="1:11" x14ac:dyDescent="0.3">
      <c r="A104" s="33">
        <v>11330</v>
      </c>
      <c r="B104" s="33">
        <v>29651</v>
      </c>
      <c r="C104" s="33">
        <v>11330</v>
      </c>
      <c r="D104" s="33">
        <v>29651</v>
      </c>
      <c r="E104" s="2"/>
      <c r="F104" s="2"/>
      <c r="G104" s="2"/>
      <c r="H104" s="2"/>
      <c r="I104" s="2"/>
      <c r="J104" s="2"/>
      <c r="K104" s="2"/>
    </row>
    <row r="105" spans="1:11" x14ac:dyDescent="0.3">
      <c r="A105" s="33">
        <v>12941</v>
      </c>
      <c r="B105" s="33">
        <v>28602</v>
      </c>
      <c r="C105" s="33">
        <v>12941</v>
      </c>
      <c r="D105" s="33">
        <v>28602</v>
      </c>
      <c r="E105" s="2"/>
      <c r="F105" s="2"/>
      <c r="G105" s="2"/>
      <c r="H105" s="2"/>
      <c r="I105" s="2"/>
      <c r="J105" s="2"/>
      <c r="K105" s="2"/>
    </row>
    <row r="106" spans="1:11" x14ac:dyDescent="0.3">
      <c r="A106" s="33">
        <v>9453</v>
      </c>
      <c r="B106" s="33">
        <v>29412</v>
      </c>
      <c r="C106" s="33">
        <v>9453</v>
      </c>
      <c r="D106" s="33">
        <v>29412</v>
      </c>
      <c r="E106" s="2"/>
      <c r="F106" s="2"/>
      <c r="G106" s="2"/>
      <c r="H106" s="2"/>
      <c r="I106" s="2"/>
      <c r="J106" s="2"/>
      <c r="K106" s="2"/>
    </row>
    <row r="107" spans="1:11" x14ac:dyDescent="0.3">
      <c r="A107" s="33">
        <v>16806</v>
      </c>
      <c r="B107" s="33">
        <v>22042</v>
      </c>
      <c r="C107" s="33">
        <v>16806</v>
      </c>
      <c r="D107" s="33">
        <v>22042</v>
      </c>
      <c r="E107" s="2"/>
      <c r="F107" s="2"/>
      <c r="G107" s="2"/>
      <c r="H107" s="2"/>
      <c r="I107" s="2"/>
      <c r="J107" s="2"/>
      <c r="K107" s="2"/>
    </row>
    <row r="108" spans="1:11" x14ac:dyDescent="0.3">
      <c r="A108" s="33">
        <v>16835</v>
      </c>
      <c r="B108" s="33">
        <v>30142</v>
      </c>
      <c r="C108" s="33">
        <v>16835</v>
      </c>
      <c r="D108" s="33">
        <v>30142</v>
      </c>
    </row>
    <row r="109" spans="1:11" x14ac:dyDescent="0.3">
      <c r="A109" s="33">
        <v>10087</v>
      </c>
      <c r="B109" s="33"/>
      <c r="C109" s="33">
        <v>10087</v>
      </c>
      <c r="D109" s="33"/>
    </row>
    <row r="110" spans="1:11" x14ac:dyDescent="0.3">
      <c r="A110" s="33">
        <v>12757</v>
      </c>
      <c r="B110" s="33"/>
      <c r="C110" s="33">
        <v>12757</v>
      </c>
      <c r="D110" s="33"/>
    </row>
    <row r="111" spans="1:11" x14ac:dyDescent="0.3">
      <c r="A111" s="33">
        <v>10766</v>
      </c>
      <c r="B111" s="33"/>
      <c r="C111" s="33">
        <v>10766</v>
      </c>
      <c r="D111" s="33"/>
    </row>
    <row r="112" spans="1:11" x14ac:dyDescent="0.3">
      <c r="A112" s="33">
        <v>9434</v>
      </c>
      <c r="B112" s="33"/>
      <c r="C112" s="33">
        <v>9434</v>
      </c>
      <c r="D112" s="33"/>
    </row>
    <row r="113" spans="1:4" x14ac:dyDescent="0.3">
      <c r="A113" s="33">
        <v>10397</v>
      </c>
      <c r="B113" s="33"/>
      <c r="C113" s="33">
        <v>10397</v>
      </c>
      <c r="D113" s="33"/>
    </row>
    <row r="114" spans="1:4" x14ac:dyDescent="0.3">
      <c r="A114" s="33">
        <v>17177</v>
      </c>
      <c r="B114" s="33"/>
      <c r="C114" s="33">
        <v>17177</v>
      </c>
      <c r="D114" s="33"/>
    </row>
    <row r="115" spans="1:4" x14ac:dyDescent="0.3">
      <c r="A115" s="33">
        <v>12886</v>
      </c>
      <c r="B115" s="33"/>
      <c r="C115" s="33">
        <v>12886</v>
      </c>
      <c r="D115" s="33"/>
    </row>
    <row r="116" spans="1:4" x14ac:dyDescent="0.3">
      <c r="A116" s="33">
        <v>12804</v>
      </c>
      <c r="B116" s="33"/>
      <c r="C116" s="33">
        <v>12804</v>
      </c>
      <c r="D116" s="33"/>
    </row>
    <row r="117" spans="1:4" x14ac:dyDescent="0.3">
      <c r="A117" s="33">
        <v>10028</v>
      </c>
      <c r="B117" s="33"/>
      <c r="C117" s="33">
        <v>10028</v>
      </c>
      <c r="D117" s="33"/>
    </row>
    <row r="118" spans="1:4" x14ac:dyDescent="0.3">
      <c r="A118" s="33">
        <v>13499</v>
      </c>
      <c r="B118" s="33"/>
      <c r="C118" s="33">
        <v>13499</v>
      </c>
      <c r="D118" s="33"/>
    </row>
    <row r="119" spans="1:4" x14ac:dyDescent="0.3">
      <c r="A119" s="33">
        <v>15354</v>
      </c>
      <c r="B119" s="33"/>
      <c r="C119" s="33">
        <v>15354</v>
      </c>
      <c r="D119" s="33"/>
    </row>
    <row r="120" spans="1:4" x14ac:dyDescent="0.3">
      <c r="A120" s="33">
        <v>14596</v>
      </c>
      <c r="B120" s="33"/>
      <c r="C120" s="33">
        <v>14596</v>
      </c>
      <c r="D120" s="33"/>
    </row>
    <row r="121" spans="1:4" x14ac:dyDescent="0.3">
      <c r="A121" s="33">
        <v>18435</v>
      </c>
      <c r="B121" s="33"/>
      <c r="C121" s="33">
        <v>18435</v>
      </c>
      <c r="D121" s="33"/>
    </row>
    <row r="122" spans="1:4" x14ac:dyDescent="0.3">
      <c r="A122" s="33">
        <v>11737</v>
      </c>
      <c r="B122" s="33"/>
      <c r="C122" s="33">
        <v>11737</v>
      </c>
      <c r="D122" s="33"/>
    </row>
    <row r="123" spans="1:4" x14ac:dyDescent="0.3">
      <c r="A123" s="33">
        <v>12844</v>
      </c>
      <c r="B123" s="33"/>
      <c r="C123" s="33">
        <v>12844</v>
      </c>
      <c r="D123" s="33"/>
    </row>
    <row r="124" spans="1:4" x14ac:dyDescent="0.3">
      <c r="A124" s="33">
        <v>11531</v>
      </c>
      <c r="B124" s="33"/>
      <c r="C124" s="33">
        <v>11531</v>
      </c>
      <c r="D124" s="33"/>
    </row>
    <row r="125" spans="1:4" x14ac:dyDescent="0.3">
      <c r="A125" s="33">
        <v>11764</v>
      </c>
      <c r="B125" s="33"/>
      <c r="C125" s="33">
        <v>11764</v>
      </c>
      <c r="D125" s="33"/>
    </row>
    <row r="126" spans="1:4" x14ac:dyDescent="0.3">
      <c r="A126" s="33">
        <v>15273</v>
      </c>
      <c r="B126" s="33"/>
      <c r="C126" s="33">
        <v>15273</v>
      </c>
      <c r="D126" s="33"/>
    </row>
    <row r="127" spans="1:4" x14ac:dyDescent="0.3">
      <c r="A127" s="33">
        <v>18729</v>
      </c>
      <c r="B127" s="33"/>
      <c r="C127" s="33">
        <v>18729</v>
      </c>
      <c r="D127" s="33"/>
    </row>
    <row r="128" spans="1:4" x14ac:dyDescent="0.3">
      <c r="A128" s="33">
        <v>9824</v>
      </c>
      <c r="B128" s="33"/>
      <c r="C128" s="33">
        <v>9824</v>
      </c>
      <c r="D128" s="33"/>
    </row>
    <row r="129" spans="1:4" x14ac:dyDescent="0.3">
      <c r="A129" s="33">
        <v>12483</v>
      </c>
      <c r="B129" s="33"/>
      <c r="C129" s="33">
        <v>12483</v>
      </c>
      <c r="D129" s="33"/>
    </row>
    <row r="130" spans="1:4" x14ac:dyDescent="0.3">
      <c r="A130" s="33">
        <v>14918</v>
      </c>
      <c r="B130" s="33"/>
      <c r="C130" s="33">
        <v>14918</v>
      </c>
      <c r="D130" s="33"/>
    </row>
    <row r="131" spans="1:4" x14ac:dyDescent="0.3">
      <c r="A131" s="33">
        <v>17497</v>
      </c>
      <c r="B131" s="33"/>
      <c r="C131" s="33">
        <v>17497</v>
      </c>
      <c r="D131" s="33"/>
    </row>
    <row r="132" spans="1:4" x14ac:dyDescent="0.3">
      <c r="A132" s="33">
        <v>14053</v>
      </c>
      <c r="B132" s="33"/>
      <c r="C132" s="33">
        <v>14053</v>
      </c>
      <c r="D132" s="33"/>
    </row>
    <row r="133" spans="1:4" x14ac:dyDescent="0.3">
      <c r="A133" s="33">
        <v>8241</v>
      </c>
      <c r="B133" s="33"/>
      <c r="C133" s="33">
        <v>8241</v>
      </c>
      <c r="D133" s="33"/>
    </row>
    <row r="134" spans="1:4" x14ac:dyDescent="0.3">
      <c r="A134" s="33">
        <v>10715</v>
      </c>
      <c r="B134" s="33"/>
      <c r="C134" s="33">
        <v>10715</v>
      </c>
      <c r="D134" s="33"/>
    </row>
    <row r="135" spans="1:4" x14ac:dyDescent="0.3">
      <c r="A135" s="33">
        <v>8352</v>
      </c>
      <c r="B135" s="33"/>
      <c r="C135" s="33">
        <v>8352</v>
      </c>
      <c r="D135" s="33"/>
    </row>
    <row r="136" spans="1:4" x14ac:dyDescent="0.3">
      <c r="A136" s="33">
        <v>14982</v>
      </c>
      <c r="B136" s="33"/>
      <c r="C136" s="33">
        <v>14982</v>
      </c>
      <c r="D136" s="33"/>
    </row>
    <row r="137" spans="1:4" x14ac:dyDescent="0.3">
      <c r="A137" s="33">
        <v>14732</v>
      </c>
      <c r="B137" s="33"/>
      <c r="C137" s="33">
        <v>14732</v>
      </c>
      <c r="D137" s="33"/>
    </row>
    <row r="138" spans="1:4" x14ac:dyDescent="0.3">
      <c r="A138" s="33">
        <v>14050</v>
      </c>
      <c r="B138" s="33"/>
      <c r="C138" s="33">
        <v>14050</v>
      </c>
      <c r="D138" s="33"/>
    </row>
    <row r="139" spans="1:4" x14ac:dyDescent="0.3">
      <c r="A139" s="33">
        <v>12755</v>
      </c>
      <c r="B139" s="33"/>
      <c r="C139" s="33">
        <v>12755</v>
      </c>
      <c r="D139" s="33"/>
    </row>
    <row r="140" spans="1:4" x14ac:dyDescent="0.3">
      <c r="A140" s="33">
        <v>12806</v>
      </c>
      <c r="B140" s="33"/>
      <c r="C140" s="33">
        <v>12806</v>
      </c>
      <c r="D140" s="33"/>
    </row>
    <row r="141" spans="1:4" x14ac:dyDescent="0.3">
      <c r="A141" s="33">
        <v>14152</v>
      </c>
      <c r="B141" s="33"/>
      <c r="C141" s="33">
        <v>14152</v>
      </c>
      <c r="D141" s="33"/>
    </row>
    <row r="142" spans="1:4" x14ac:dyDescent="0.3">
      <c r="A142" s="33">
        <v>12699</v>
      </c>
      <c r="B142" s="33"/>
      <c r="C142" s="33">
        <v>12699</v>
      </c>
      <c r="D142" s="33"/>
    </row>
    <row r="143" spans="1:4" x14ac:dyDescent="0.3">
      <c r="A143" s="33">
        <v>18922</v>
      </c>
      <c r="B143" s="33"/>
      <c r="C143" s="33">
        <v>18922</v>
      </c>
      <c r="D143" s="33"/>
    </row>
    <row r="144" spans="1:4" x14ac:dyDescent="0.3">
      <c r="A144" s="33">
        <v>18586</v>
      </c>
      <c r="B144" s="33"/>
      <c r="C144" s="33">
        <v>18586</v>
      </c>
      <c r="D144" s="33"/>
    </row>
    <row r="145" spans="1:4" x14ac:dyDescent="0.3">
      <c r="A145" s="33">
        <v>14225</v>
      </c>
      <c r="B145" s="33"/>
      <c r="C145" s="33">
        <v>14225</v>
      </c>
      <c r="D145" s="33"/>
    </row>
    <row r="146" spans="1:4" x14ac:dyDescent="0.3">
      <c r="A146" s="33">
        <v>8651</v>
      </c>
      <c r="B146" s="33"/>
      <c r="C146" s="33">
        <v>8651</v>
      </c>
      <c r="D146" s="33"/>
    </row>
    <row r="147" spans="1:4" x14ac:dyDescent="0.3">
      <c r="A147" s="33">
        <v>19081</v>
      </c>
      <c r="B147" s="33"/>
      <c r="C147" s="33">
        <v>19081</v>
      </c>
      <c r="D147" s="33"/>
    </row>
    <row r="148" spans="1:4" x14ac:dyDescent="0.3">
      <c r="A148" s="33">
        <v>24187</v>
      </c>
      <c r="B148" s="33"/>
      <c r="C148" s="33">
        <v>24187</v>
      </c>
      <c r="D148" s="33"/>
    </row>
    <row r="149" spans="1:4" x14ac:dyDescent="0.3">
      <c r="A149" s="33">
        <v>19444</v>
      </c>
      <c r="B149" s="33"/>
      <c r="C149" s="33">
        <v>19444</v>
      </c>
      <c r="D149" s="33"/>
    </row>
    <row r="150" spans="1:4" x14ac:dyDescent="0.3">
      <c r="A150" s="33">
        <v>18263</v>
      </c>
      <c r="B150" s="33"/>
      <c r="C150" s="33">
        <v>18263</v>
      </c>
      <c r="D150" s="33"/>
    </row>
    <row r="151" spans="1:4" x14ac:dyDescent="0.3">
      <c r="A151" s="33">
        <v>13379</v>
      </c>
      <c r="B151" s="33"/>
      <c r="C151" s="33">
        <v>13379</v>
      </c>
      <c r="D151" s="33"/>
    </row>
    <row r="152" spans="1:4" x14ac:dyDescent="0.3">
      <c r="A152" s="33">
        <v>8408</v>
      </c>
      <c r="B152" s="33"/>
      <c r="C152" s="33">
        <v>8408</v>
      </c>
      <c r="D152" s="33"/>
    </row>
    <row r="153" spans="1:4" x14ac:dyDescent="0.3">
      <c r="A153" s="33">
        <v>16644</v>
      </c>
      <c r="B153" s="33"/>
      <c r="C153" s="33">
        <v>16644</v>
      </c>
      <c r="D153" s="33"/>
    </row>
    <row r="154" spans="1:4" x14ac:dyDescent="0.3">
      <c r="A154" s="33">
        <v>10962</v>
      </c>
      <c r="B154" s="33"/>
      <c r="C154" s="33">
        <v>10962</v>
      </c>
      <c r="D154" s="33"/>
    </row>
    <row r="155" spans="1:4" x14ac:dyDescent="0.3">
      <c r="A155" s="33">
        <v>10739</v>
      </c>
      <c r="B155" s="33"/>
      <c r="C155" s="33">
        <v>10739</v>
      </c>
      <c r="D155" s="33"/>
    </row>
    <row r="156" spans="1:4" x14ac:dyDescent="0.3">
      <c r="A156" s="33">
        <v>19109</v>
      </c>
      <c r="B156" s="33"/>
      <c r="C156" s="33">
        <v>19109</v>
      </c>
      <c r="D156" s="33"/>
    </row>
    <row r="157" spans="1:4" x14ac:dyDescent="0.3">
      <c r="A157" s="33">
        <v>15703</v>
      </c>
      <c r="B157" s="33"/>
      <c r="C157" s="33">
        <v>15703</v>
      </c>
      <c r="D157" s="33"/>
    </row>
    <row r="158" spans="1:4" x14ac:dyDescent="0.3">
      <c r="A158" s="33">
        <v>17389</v>
      </c>
      <c r="B158" s="33"/>
      <c r="C158" s="33">
        <v>17389</v>
      </c>
      <c r="D158" s="33"/>
    </row>
    <row r="159" spans="1:4" x14ac:dyDescent="0.3">
      <c r="A159" s="33">
        <v>9421</v>
      </c>
      <c r="B159" s="33"/>
      <c r="C159" s="33">
        <v>9421</v>
      </c>
      <c r="D159" s="33"/>
    </row>
    <row r="160" spans="1:4" x14ac:dyDescent="0.3">
      <c r="A160" s="33">
        <v>18374</v>
      </c>
      <c r="B160" s="33"/>
      <c r="C160" s="33">
        <v>18374</v>
      </c>
      <c r="D160" s="33"/>
    </row>
    <row r="161" spans="1:4" x14ac:dyDescent="0.3">
      <c r="A161" s="33">
        <v>17667</v>
      </c>
      <c r="B161" s="33"/>
      <c r="C161" s="33">
        <v>17667</v>
      </c>
      <c r="D161" s="33"/>
    </row>
    <row r="162" spans="1:4" x14ac:dyDescent="0.3">
      <c r="A162" s="33">
        <v>14950</v>
      </c>
      <c r="B162" s="33"/>
      <c r="C162" s="33">
        <v>14950</v>
      </c>
      <c r="D162" s="33"/>
    </row>
    <row r="163" spans="1:4" x14ac:dyDescent="0.3">
      <c r="A163" s="33">
        <v>8128</v>
      </c>
      <c r="B163" s="33"/>
      <c r="C163" s="33">
        <v>8128</v>
      </c>
      <c r="D163" s="33"/>
    </row>
    <row r="164" spans="1:4" x14ac:dyDescent="0.3">
      <c r="A164" s="33">
        <v>15105</v>
      </c>
      <c r="B164" s="33"/>
      <c r="C164" s="33">
        <v>15105</v>
      </c>
      <c r="D164" s="33"/>
    </row>
    <row r="165" spans="1:4" x14ac:dyDescent="0.3">
      <c r="A165" s="33">
        <v>17942</v>
      </c>
      <c r="B165" s="33"/>
      <c r="C165" s="33">
        <v>17942</v>
      </c>
      <c r="D165" s="33"/>
    </row>
    <row r="166" spans="1:4" x14ac:dyDescent="0.3">
      <c r="A166" s="33">
        <v>9420</v>
      </c>
      <c r="B166" s="33"/>
      <c r="C166" s="33">
        <v>9420</v>
      </c>
      <c r="D166" s="33"/>
    </row>
    <row r="167" spans="1:4" x14ac:dyDescent="0.3">
      <c r="A167" s="33">
        <v>10881</v>
      </c>
      <c r="B167" s="33"/>
      <c r="C167" s="33">
        <v>10881</v>
      </c>
      <c r="D167" s="33"/>
    </row>
    <row r="168" spans="1:4" x14ac:dyDescent="0.3">
      <c r="A168" s="33">
        <v>18443</v>
      </c>
      <c r="B168" s="33"/>
      <c r="C168" s="33">
        <v>18443</v>
      </c>
      <c r="D168" s="33"/>
    </row>
    <row r="169" spans="1:4" x14ac:dyDescent="0.3">
      <c r="A169" s="33">
        <v>13026</v>
      </c>
      <c r="B169" s="33"/>
      <c r="C169" s="33">
        <v>13026</v>
      </c>
      <c r="D169" s="33"/>
    </row>
    <row r="170" spans="1:4" x14ac:dyDescent="0.3">
      <c r="A170" s="33">
        <v>9608</v>
      </c>
      <c r="B170" s="33"/>
      <c r="C170" s="33">
        <v>9608</v>
      </c>
      <c r="D170" s="33"/>
    </row>
    <row r="171" spans="1:4" x14ac:dyDescent="0.3">
      <c r="A171" s="33">
        <v>15620</v>
      </c>
      <c r="B171" s="33"/>
      <c r="C171" s="33">
        <v>15620</v>
      </c>
      <c r="D171" s="33"/>
    </row>
    <row r="172" spans="1:4" x14ac:dyDescent="0.3">
      <c r="A172" s="33">
        <v>16462</v>
      </c>
      <c r="B172" s="33"/>
      <c r="C172" s="33">
        <v>16462</v>
      </c>
      <c r="D172" s="33"/>
    </row>
    <row r="173" spans="1:4" x14ac:dyDescent="0.3">
      <c r="A173" s="33">
        <v>18872</v>
      </c>
      <c r="B173" s="33"/>
      <c r="C173" s="33">
        <v>18872</v>
      </c>
      <c r="D173" s="33"/>
    </row>
    <row r="174" spans="1:4" x14ac:dyDescent="0.3">
      <c r="A174" s="33">
        <v>15936</v>
      </c>
      <c r="B174" s="33"/>
      <c r="C174" s="33">
        <v>15936</v>
      </c>
      <c r="D174" s="33"/>
    </row>
    <row r="175" spans="1:4" x14ac:dyDescent="0.3">
      <c r="A175" s="33">
        <v>14138</v>
      </c>
      <c r="B175" s="33"/>
      <c r="C175" s="33">
        <v>14138</v>
      </c>
      <c r="D175" s="33"/>
    </row>
    <row r="176" spans="1:4" x14ac:dyDescent="0.3">
      <c r="A176" s="33">
        <v>17139</v>
      </c>
      <c r="B176" s="33"/>
      <c r="C176" s="33">
        <v>17139</v>
      </c>
      <c r="D176" s="33"/>
    </row>
    <row r="177" spans="1:4" x14ac:dyDescent="0.3">
      <c r="A177" s="33">
        <v>18686</v>
      </c>
      <c r="B177" s="33"/>
      <c r="C177" s="33">
        <v>18686</v>
      </c>
      <c r="D177" s="33"/>
    </row>
    <row r="178" spans="1:4" x14ac:dyDescent="0.3">
      <c r="A178" s="33">
        <v>17377</v>
      </c>
      <c r="B178" s="33"/>
      <c r="C178" s="33">
        <v>17377</v>
      </c>
      <c r="D178" s="33"/>
    </row>
    <row r="179" spans="1:4" x14ac:dyDescent="0.3">
      <c r="A179" s="33">
        <v>19631</v>
      </c>
      <c r="B179" s="33"/>
      <c r="C179" s="33">
        <v>19631</v>
      </c>
      <c r="D179" s="33"/>
    </row>
    <row r="180" spans="1:4" x14ac:dyDescent="0.3">
      <c r="A180" s="33">
        <v>15677</v>
      </c>
      <c r="B180" s="33"/>
      <c r="C180" s="33">
        <v>15677</v>
      </c>
      <c r="D180" s="33"/>
    </row>
    <row r="181" spans="1:4" x14ac:dyDescent="0.3">
      <c r="A181" s="33">
        <v>14951</v>
      </c>
      <c r="B181" s="33"/>
      <c r="C181" s="33">
        <v>14951</v>
      </c>
      <c r="D181" s="33"/>
    </row>
    <row r="182" spans="1:4" x14ac:dyDescent="0.3">
      <c r="A182" s="33">
        <v>18978</v>
      </c>
      <c r="B182" s="33"/>
      <c r="C182" s="33">
        <v>18978</v>
      </c>
      <c r="D182" s="33"/>
    </row>
    <row r="183" spans="1:4" x14ac:dyDescent="0.3">
      <c r="A183" s="33">
        <v>19142</v>
      </c>
      <c r="B183" s="33"/>
      <c r="C183" s="33">
        <v>19142</v>
      </c>
      <c r="D183" s="33"/>
    </row>
    <row r="184" spans="1:4" x14ac:dyDescent="0.3">
      <c r="A184" s="33">
        <v>13500</v>
      </c>
      <c r="B184" s="33"/>
      <c r="C184" s="33">
        <v>13500</v>
      </c>
      <c r="D184" s="33"/>
    </row>
    <row r="185" spans="1:4" x14ac:dyDescent="0.3">
      <c r="A185" s="33">
        <v>15480</v>
      </c>
      <c r="B185" s="33"/>
      <c r="C185" s="33">
        <v>15480</v>
      </c>
      <c r="D185" s="33"/>
    </row>
    <row r="186" spans="1:4" x14ac:dyDescent="0.3">
      <c r="A186" s="33">
        <v>15255</v>
      </c>
      <c r="B186" s="33"/>
      <c r="C186" s="33">
        <v>15255</v>
      </c>
      <c r="D186" s="33"/>
    </row>
    <row r="187" spans="1:4" x14ac:dyDescent="0.3">
      <c r="A187" s="33">
        <v>12603</v>
      </c>
      <c r="B187" s="33"/>
      <c r="C187" s="33">
        <v>12603</v>
      </c>
      <c r="D187" s="33"/>
    </row>
    <row r="188" spans="1:4" x14ac:dyDescent="0.3">
      <c r="A188" s="33">
        <v>19140</v>
      </c>
      <c r="B188" s="33"/>
      <c r="C188" s="33">
        <v>19140</v>
      </c>
      <c r="D188" s="33"/>
    </row>
    <row r="189" spans="1:4" x14ac:dyDescent="0.3">
      <c r="A189" s="33">
        <v>11549</v>
      </c>
      <c r="B189" s="33"/>
      <c r="C189" s="33">
        <v>11549</v>
      </c>
      <c r="D189" s="33"/>
    </row>
    <row r="190" spans="1:4" x14ac:dyDescent="0.3">
      <c r="A190" s="33">
        <v>14567</v>
      </c>
      <c r="B190" s="33"/>
      <c r="C190" s="33">
        <v>14567</v>
      </c>
      <c r="D190" s="33"/>
    </row>
    <row r="191" spans="1:4" x14ac:dyDescent="0.3">
      <c r="A191" s="33">
        <v>13366</v>
      </c>
      <c r="B191" s="33"/>
      <c r="C191" s="33">
        <v>13366</v>
      </c>
      <c r="D191" s="33"/>
    </row>
    <row r="192" spans="1:4" x14ac:dyDescent="0.3">
      <c r="A192" s="33">
        <v>9132</v>
      </c>
      <c r="B192" s="33"/>
      <c r="C192" s="33">
        <v>9132</v>
      </c>
      <c r="D192" s="33"/>
    </row>
    <row r="193" spans="1:4" x14ac:dyDescent="0.3">
      <c r="A193" s="33">
        <v>21752</v>
      </c>
      <c r="B193" s="33"/>
      <c r="C193" s="33">
        <v>21752</v>
      </c>
      <c r="D193" s="33"/>
    </row>
    <row r="194" spans="1:4" x14ac:dyDescent="0.3">
      <c r="A194" s="33">
        <v>14631</v>
      </c>
      <c r="B194" s="33"/>
      <c r="C194" s="33">
        <v>14631</v>
      </c>
      <c r="D194" s="33"/>
    </row>
    <row r="195" spans="1:4" x14ac:dyDescent="0.3">
      <c r="A195" s="33">
        <v>13698</v>
      </c>
      <c r="B195" s="33"/>
      <c r="C195" s="33">
        <v>13698</v>
      </c>
      <c r="D195" s="33"/>
    </row>
    <row r="196" spans="1:4" x14ac:dyDescent="0.3">
      <c r="A196" s="33">
        <v>11755</v>
      </c>
      <c r="B196" s="33"/>
      <c r="C196" s="33">
        <v>11755</v>
      </c>
      <c r="D196" s="33"/>
    </row>
    <row r="197" spans="1:4" x14ac:dyDescent="0.3">
      <c r="A197" s="33">
        <v>9145</v>
      </c>
      <c r="B197" s="33"/>
      <c r="C197" s="33">
        <v>9145</v>
      </c>
      <c r="D197" s="33"/>
    </row>
    <row r="198" spans="1:4" x14ac:dyDescent="0.3">
      <c r="A198" s="33">
        <v>10937</v>
      </c>
      <c r="B198" s="33"/>
      <c r="C198" s="33">
        <v>10937</v>
      </c>
      <c r="D198" s="33"/>
    </row>
    <row r="199" spans="1:4" x14ac:dyDescent="0.3">
      <c r="A199" s="33">
        <v>18407</v>
      </c>
      <c r="B199" s="33"/>
      <c r="C199" s="33">
        <v>18407</v>
      </c>
      <c r="D199" s="33"/>
    </row>
    <row r="200" spans="1:4" x14ac:dyDescent="0.3">
      <c r="A200" s="33">
        <v>10457</v>
      </c>
      <c r="B200" s="33"/>
      <c r="C200" s="33">
        <v>10457</v>
      </c>
      <c r="D200" s="33"/>
    </row>
    <row r="201" spans="1:4" x14ac:dyDescent="0.3">
      <c r="A201" s="33">
        <v>14005</v>
      </c>
      <c r="B201" s="33"/>
      <c r="C201" s="33">
        <v>14005</v>
      </c>
      <c r="D201" s="33"/>
    </row>
    <row r="202" spans="1:4" x14ac:dyDescent="0.3">
      <c r="A202" s="33">
        <v>29658</v>
      </c>
      <c r="B202" s="33"/>
      <c r="C202" s="33">
        <v>26355</v>
      </c>
      <c r="D202" s="33"/>
    </row>
    <row r="203" spans="1:4" x14ac:dyDescent="0.3">
      <c r="A203" s="33">
        <v>17473</v>
      </c>
      <c r="B203" s="33"/>
      <c r="C203" s="33">
        <v>17473</v>
      </c>
      <c r="D203" s="33"/>
    </row>
    <row r="204" spans="1:4" x14ac:dyDescent="0.3">
      <c r="A204" s="33">
        <v>30258</v>
      </c>
      <c r="B204" s="33"/>
      <c r="C204" s="61">
        <v>26355</v>
      </c>
      <c r="D204" s="33"/>
    </row>
    <row r="205" spans="1:4" x14ac:dyDescent="0.3">
      <c r="A205" s="33">
        <v>10276</v>
      </c>
      <c r="B205" s="33"/>
      <c r="C205" s="33">
        <v>10276</v>
      </c>
      <c r="D205" s="33"/>
    </row>
    <row r="206" spans="1:4" x14ac:dyDescent="0.3">
      <c r="A206" s="33">
        <v>11847</v>
      </c>
      <c r="B206" s="33"/>
      <c r="C206" s="33">
        <v>11847</v>
      </c>
      <c r="D206" s="33"/>
    </row>
    <row r="207" spans="1:4" x14ac:dyDescent="0.3">
      <c r="A207" s="33">
        <v>11374</v>
      </c>
      <c r="B207" s="33"/>
      <c r="C207" s="33">
        <v>11374</v>
      </c>
      <c r="D207" s="33"/>
    </row>
    <row r="208" spans="1:4" x14ac:dyDescent="0.3">
      <c r="A208" s="33">
        <v>18467</v>
      </c>
      <c r="B208" s="33"/>
      <c r="C208" s="33">
        <v>18467</v>
      </c>
      <c r="D208" s="33"/>
    </row>
    <row r="209" spans="1:4" x14ac:dyDescent="0.3">
      <c r="A209" s="33">
        <v>11605</v>
      </c>
      <c r="B209" s="33"/>
      <c r="C209" s="33">
        <v>11605</v>
      </c>
      <c r="D209" s="33"/>
    </row>
    <row r="210" spans="1:4" x14ac:dyDescent="0.3">
      <c r="A210" s="33">
        <v>9914</v>
      </c>
      <c r="B210" s="33"/>
      <c r="C210" s="33">
        <v>9914</v>
      </c>
      <c r="D210" s="33"/>
    </row>
    <row r="211" spans="1:4" x14ac:dyDescent="0.3">
      <c r="A211" s="33">
        <v>15442</v>
      </c>
      <c r="B211" s="33"/>
      <c r="C211" s="33">
        <v>15442</v>
      </c>
      <c r="D211" s="33"/>
    </row>
    <row r="212" spans="1:4" x14ac:dyDescent="0.3">
      <c r="A212" s="33">
        <v>13500</v>
      </c>
      <c r="B212" s="33"/>
      <c r="C212" s="33">
        <v>13500</v>
      </c>
      <c r="D212" s="33"/>
    </row>
    <row r="213" spans="1:4" x14ac:dyDescent="0.3">
      <c r="A213" s="33">
        <v>15514</v>
      </c>
      <c r="B213" s="33"/>
      <c r="C213" s="33">
        <v>15514</v>
      </c>
      <c r="D213" s="33"/>
    </row>
    <row r="214" spans="1:4" x14ac:dyDescent="0.3">
      <c r="A214" s="33">
        <v>16554</v>
      </c>
      <c r="B214" s="33"/>
      <c r="C214" s="33">
        <v>16554</v>
      </c>
      <c r="D214" s="33"/>
    </row>
    <row r="215" spans="1:4" x14ac:dyDescent="0.3">
      <c r="A215" s="33">
        <v>31483</v>
      </c>
      <c r="B215" s="33"/>
      <c r="C215" s="61">
        <v>26355</v>
      </c>
      <c r="D215" s="33"/>
    </row>
    <row r="216" spans="1:4" x14ac:dyDescent="0.3">
      <c r="A216" s="33">
        <v>13408</v>
      </c>
      <c r="B216" s="33"/>
      <c r="C216" s="33">
        <v>13408</v>
      </c>
      <c r="D216" s="33"/>
    </row>
    <row r="217" spans="1:4" x14ac:dyDescent="0.3">
      <c r="A217" s="33">
        <v>30478</v>
      </c>
      <c r="B217" s="33"/>
      <c r="C217" s="61">
        <v>26355</v>
      </c>
      <c r="D217" s="33"/>
    </row>
    <row r="218" spans="1:4" x14ac:dyDescent="0.3">
      <c r="A218" s="33">
        <v>13500</v>
      </c>
      <c r="B218" s="33"/>
      <c r="C218" s="33">
        <v>13500</v>
      </c>
      <c r="D218" s="33"/>
    </row>
    <row r="219" spans="1:4" x14ac:dyDescent="0.3">
      <c r="A219" s="33">
        <v>14300</v>
      </c>
      <c r="B219" s="33"/>
      <c r="C219" s="33">
        <v>14300</v>
      </c>
      <c r="D219" s="33"/>
    </row>
    <row r="220" spans="1:4" x14ac:dyDescent="0.3">
      <c r="A220" s="33">
        <v>31178</v>
      </c>
      <c r="B220" s="33"/>
      <c r="C220" s="61">
        <v>26355</v>
      </c>
      <c r="D220" s="33"/>
    </row>
    <row r="221" spans="1:4" x14ac:dyDescent="0.3">
      <c r="A221" s="33">
        <v>8089</v>
      </c>
      <c r="B221" s="33"/>
      <c r="C221" s="33">
        <v>8089</v>
      </c>
      <c r="D221" s="33"/>
    </row>
    <row r="222" spans="1:4" x14ac:dyDescent="0.3">
      <c r="A222" s="33">
        <v>18283</v>
      </c>
      <c r="B222" s="33"/>
      <c r="C222" s="33">
        <v>18283</v>
      </c>
      <c r="D222" s="33"/>
    </row>
    <row r="223" spans="1:4" x14ac:dyDescent="0.3">
      <c r="A223" s="33">
        <v>13217</v>
      </c>
      <c r="B223" s="33"/>
      <c r="C223" s="33">
        <v>13217</v>
      </c>
      <c r="D223" s="33"/>
    </row>
    <row r="224" spans="1:4" x14ac:dyDescent="0.3">
      <c r="A224" s="33">
        <v>8499</v>
      </c>
      <c r="B224" s="33"/>
      <c r="C224" s="33">
        <v>8499</v>
      </c>
      <c r="D224" s="33"/>
    </row>
    <row r="225" spans="1:4" x14ac:dyDescent="0.3">
      <c r="A225" s="33">
        <v>10707</v>
      </c>
      <c r="B225" s="33"/>
      <c r="C225" s="33">
        <v>10707</v>
      </c>
      <c r="D225" s="33"/>
    </row>
    <row r="226" spans="1:4" x14ac:dyDescent="0.3">
      <c r="A226" s="33">
        <v>11174</v>
      </c>
      <c r="B226" s="33"/>
      <c r="C226" s="33">
        <v>11174</v>
      </c>
      <c r="D226" s="33"/>
    </row>
    <row r="227" spans="1:4" x14ac:dyDescent="0.3">
      <c r="A227" s="33">
        <v>14447</v>
      </c>
      <c r="B227" s="33"/>
      <c r="C227" s="33">
        <v>14447</v>
      </c>
      <c r="D227" s="33"/>
    </row>
    <row r="228" spans="1:4" x14ac:dyDescent="0.3">
      <c r="A228" s="33">
        <v>11562</v>
      </c>
      <c r="B228" s="33"/>
      <c r="C228" s="33">
        <v>11562</v>
      </c>
      <c r="D228" s="33"/>
    </row>
    <row r="229" spans="1:4" x14ac:dyDescent="0.3">
      <c r="A229" s="33">
        <v>34444</v>
      </c>
      <c r="B229" s="33"/>
      <c r="C229" s="61">
        <v>26355</v>
      </c>
      <c r="D229" s="33"/>
    </row>
    <row r="230" spans="1:4" x14ac:dyDescent="0.3">
      <c r="A230" s="33">
        <v>15663</v>
      </c>
      <c r="B230" s="33"/>
      <c r="C230" s="33">
        <v>15663</v>
      </c>
      <c r="D230" s="33"/>
    </row>
    <row r="231" spans="1:4" x14ac:dyDescent="0.3">
      <c r="A231" s="33">
        <v>13500</v>
      </c>
      <c r="B231" s="33"/>
      <c r="C231" s="33">
        <v>13500</v>
      </c>
      <c r="D231" s="33"/>
    </row>
    <row r="232" spans="1:4" x14ac:dyDescent="0.3">
      <c r="A232" s="33">
        <v>8143</v>
      </c>
      <c r="B232" s="33"/>
      <c r="C232" s="33">
        <v>8143</v>
      </c>
      <c r="D232" s="33"/>
    </row>
    <row r="233" spans="1:4" x14ac:dyDescent="0.3">
      <c r="A233" s="33">
        <v>36214</v>
      </c>
      <c r="B233" s="33"/>
      <c r="C233" s="61">
        <v>26355</v>
      </c>
      <c r="D233" s="33"/>
    </row>
    <row r="234" spans="1:4" x14ac:dyDescent="0.3">
      <c r="A234" s="33">
        <v>38437</v>
      </c>
      <c r="B234" s="33"/>
      <c r="C234" s="61">
        <v>26355</v>
      </c>
      <c r="D234" s="33"/>
    </row>
    <row r="235" spans="1:4" x14ac:dyDescent="0.3">
      <c r="A235" s="33">
        <v>15133</v>
      </c>
      <c r="B235" s="33"/>
      <c r="C235" s="33">
        <v>15133</v>
      </c>
      <c r="D235" s="33"/>
    </row>
    <row r="236" spans="1:4" x14ac:dyDescent="0.3">
      <c r="A236" s="33">
        <v>16809</v>
      </c>
      <c r="B236" s="33"/>
      <c r="C236" s="33">
        <v>16809</v>
      </c>
      <c r="D236" s="33"/>
    </row>
    <row r="237" spans="1:4" x14ac:dyDescent="0.3">
      <c r="A237" s="33">
        <v>8959</v>
      </c>
      <c r="B237" s="33"/>
      <c r="C237" s="33">
        <v>8959</v>
      </c>
      <c r="D237" s="33"/>
    </row>
    <row r="238" spans="1:4" x14ac:dyDescent="0.3">
      <c r="A238" s="33">
        <v>15003</v>
      </c>
      <c r="B238" s="33"/>
      <c r="C238" s="33">
        <v>15003</v>
      </c>
      <c r="D238" s="33"/>
    </row>
    <row r="239" spans="1:4" x14ac:dyDescent="0.3">
      <c r="A239" s="33">
        <v>13861</v>
      </c>
      <c r="B239" s="33"/>
      <c r="C239" s="33">
        <v>13861</v>
      </c>
      <c r="D239" s="33"/>
    </row>
    <row r="240" spans="1:4" x14ac:dyDescent="0.3">
      <c r="A240" s="33">
        <v>10178</v>
      </c>
      <c r="B240" s="33"/>
      <c r="C240" s="33">
        <v>10178</v>
      </c>
      <c r="D240" s="33"/>
    </row>
    <row r="241" spans="1:4" x14ac:dyDescent="0.3">
      <c r="A241" s="33">
        <v>12606</v>
      </c>
      <c r="B241" s="33"/>
      <c r="C241" s="33">
        <v>12606</v>
      </c>
      <c r="D241" s="33"/>
    </row>
    <row r="242" spans="1:4" x14ac:dyDescent="0.3">
      <c r="A242" s="33">
        <v>34240</v>
      </c>
      <c r="B242" s="33"/>
      <c r="C242" s="61">
        <v>26355</v>
      </c>
      <c r="D242" s="33"/>
    </row>
    <row r="243" spans="1:4" x14ac:dyDescent="0.3">
      <c r="A243" s="33">
        <v>38142</v>
      </c>
      <c r="B243" s="33"/>
      <c r="C243" s="61">
        <v>26355</v>
      </c>
      <c r="D243" s="33"/>
    </row>
    <row r="244" spans="1:4" x14ac:dyDescent="0.3">
      <c r="A244" s="33">
        <v>13496</v>
      </c>
      <c r="B244" s="33"/>
      <c r="C244" s="33">
        <v>13496</v>
      </c>
      <c r="D244" s="33"/>
    </row>
    <row r="245" spans="1:4" x14ac:dyDescent="0.3">
      <c r="A245" s="33">
        <v>12710</v>
      </c>
      <c r="B245" s="33"/>
      <c r="C245" s="33">
        <v>12710</v>
      </c>
      <c r="D245" s="33"/>
    </row>
    <row r="246" spans="1:4" x14ac:dyDescent="0.3">
      <c r="A246" s="33">
        <v>10745</v>
      </c>
      <c r="B246" s="33"/>
      <c r="C246" s="33">
        <v>10745</v>
      </c>
      <c r="D246" s="33"/>
    </row>
    <row r="247" spans="1:4" x14ac:dyDescent="0.3">
      <c r="A247" s="33">
        <v>19085</v>
      </c>
      <c r="B247" s="33"/>
      <c r="C247" s="33">
        <v>19085</v>
      </c>
      <c r="D247" s="33"/>
    </row>
    <row r="248" spans="1:4" x14ac:dyDescent="0.3">
      <c r="A248" s="33">
        <v>18875</v>
      </c>
      <c r="B248" s="33"/>
      <c r="C248" s="33">
        <v>18875</v>
      </c>
      <c r="D248" s="33"/>
    </row>
    <row r="249" spans="1:4" x14ac:dyDescent="0.3">
      <c r="A249" s="33">
        <v>17153</v>
      </c>
      <c r="B249" s="33"/>
      <c r="C249" s="33">
        <v>17153</v>
      </c>
      <c r="D249" s="33"/>
    </row>
    <row r="250" spans="1:4" x14ac:dyDescent="0.3">
      <c r="A250" s="33">
        <v>9654</v>
      </c>
      <c r="B250" s="33"/>
      <c r="C250" s="33">
        <v>9654</v>
      </c>
      <c r="D250" s="33"/>
    </row>
    <row r="251" spans="1:4" x14ac:dyDescent="0.3">
      <c r="A251" s="33">
        <v>12875</v>
      </c>
      <c r="B251" s="33"/>
      <c r="C251" s="33">
        <v>12875</v>
      </c>
      <c r="D251" s="33"/>
    </row>
    <row r="252" spans="1:4" x14ac:dyDescent="0.3">
      <c r="A252" s="33">
        <v>12297</v>
      </c>
      <c r="B252" s="33"/>
      <c r="C252" s="33">
        <v>12297</v>
      </c>
      <c r="D252" s="33"/>
    </row>
    <row r="253" spans="1:4" x14ac:dyDescent="0.3">
      <c r="A253" s="33">
        <v>31525</v>
      </c>
      <c r="B253" s="33"/>
      <c r="C253" s="61">
        <v>26355</v>
      </c>
      <c r="D253" s="33"/>
    </row>
    <row r="254" spans="1:4" x14ac:dyDescent="0.3">
      <c r="A254" s="33">
        <v>18494</v>
      </c>
      <c r="B254" s="33"/>
      <c r="C254" s="33">
        <v>18494</v>
      </c>
      <c r="D254" s="33"/>
    </row>
    <row r="255" spans="1:4" x14ac:dyDescent="0.3">
      <c r="A255" s="33">
        <v>32874</v>
      </c>
      <c r="B255" s="33"/>
      <c r="C255" s="61">
        <v>26355</v>
      </c>
      <c r="D255" s="33"/>
    </row>
    <row r="256" spans="1:4" x14ac:dyDescent="0.3">
      <c r="A256" s="33">
        <v>15016</v>
      </c>
      <c r="B256" s="33"/>
      <c r="C256" s="33">
        <v>15016</v>
      </c>
      <c r="D256" s="33"/>
    </row>
    <row r="257" spans="1:4" x14ac:dyDescent="0.3">
      <c r="A257" s="33">
        <v>18377</v>
      </c>
      <c r="B257" s="33"/>
      <c r="C257" s="33">
        <v>18377</v>
      </c>
      <c r="D257" s="33"/>
    </row>
    <row r="258" spans="1:4" x14ac:dyDescent="0.3">
      <c r="A258" s="33">
        <v>10627</v>
      </c>
      <c r="B258" s="33"/>
      <c r="C258" s="33">
        <v>10627</v>
      </c>
      <c r="D258" s="33"/>
    </row>
    <row r="259" spans="1:4" x14ac:dyDescent="0.3">
      <c r="A259" s="33">
        <v>13986</v>
      </c>
      <c r="B259" s="33"/>
      <c r="C259" s="33">
        <v>13986</v>
      </c>
      <c r="D259" s="33"/>
    </row>
    <row r="260" spans="1:4" x14ac:dyDescent="0.3">
      <c r="A260" s="33">
        <v>12142</v>
      </c>
      <c r="B260" s="33"/>
      <c r="C260" s="33">
        <v>12142</v>
      </c>
      <c r="D260" s="33"/>
    </row>
    <row r="261" spans="1:4" x14ac:dyDescent="0.3">
      <c r="A261" s="33">
        <v>19482</v>
      </c>
      <c r="B261" s="33"/>
      <c r="C261" s="33">
        <v>19482</v>
      </c>
      <c r="D261" s="33"/>
    </row>
    <row r="262" spans="1:4" x14ac:dyDescent="0.3">
      <c r="A262" s="33">
        <v>11684</v>
      </c>
      <c r="B262" s="33"/>
      <c r="C262" s="33">
        <v>11684</v>
      </c>
      <c r="D262" s="33"/>
    </row>
    <row r="263" spans="1:4" x14ac:dyDescent="0.3">
      <c r="A263" s="33">
        <v>16113</v>
      </c>
      <c r="B263" s="33"/>
      <c r="C263" s="33">
        <v>16113</v>
      </c>
      <c r="D263" s="33"/>
    </row>
  </sheetData>
  <mergeCells count="10">
    <mergeCell ref="M1:N1"/>
    <mergeCell ref="A2:B2"/>
    <mergeCell ref="Q1:R1"/>
    <mergeCell ref="L1:L2"/>
    <mergeCell ref="P1:P2"/>
    <mergeCell ref="C2:D2"/>
    <mergeCell ref="A1:B1"/>
    <mergeCell ref="C1:D1"/>
    <mergeCell ref="G1:H1"/>
    <mergeCell ref="F1:F2"/>
  </mergeCells>
  <conditionalFormatting sqref="C4:C263">
    <cfRule type="cellIs" dxfId="3" priority="2" operator="notBetween">
      <formula>2290</formula>
      <formula>26355</formula>
    </cfRule>
  </conditionalFormatting>
  <conditionalFormatting sqref="D4:D108">
    <cfRule type="cellIs" dxfId="2" priority="1" operator="notBetween">
      <formula>12468</formula>
      <formula>42892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W191"/>
  <sheetViews>
    <sheetView tabSelected="1" topLeftCell="A39" workbookViewId="0">
      <selection activeCell="L59" sqref="L59"/>
    </sheetView>
  </sheetViews>
  <sheetFormatPr defaultRowHeight="14.4" x14ac:dyDescent="0.3"/>
  <cols>
    <col min="2" max="2" width="11.33203125" customWidth="1"/>
    <col min="3" max="3" width="10.77734375" customWidth="1"/>
    <col min="5" max="5" width="10.5546875" customWidth="1"/>
    <col min="8" max="8" width="12.33203125" customWidth="1"/>
    <col min="9" max="9" width="13.44140625" customWidth="1"/>
    <col min="10" max="10" width="12.109375" customWidth="1"/>
    <col min="11" max="11" width="13.77734375" customWidth="1"/>
    <col min="15" max="15" width="14.5546875" customWidth="1"/>
    <col min="16" max="16" width="10.109375" customWidth="1"/>
    <col min="17" max="17" width="12.77734375" customWidth="1"/>
    <col min="18" max="18" width="12.33203125" customWidth="1"/>
    <col min="19" max="19" width="5.21875" customWidth="1"/>
    <col min="20" max="20" width="13" customWidth="1"/>
    <col min="21" max="21" width="10.44140625" customWidth="1"/>
    <col min="22" max="22" width="11" customWidth="1"/>
    <col min="23" max="23" width="10.33203125" customWidth="1"/>
    <col min="28" max="28" width="3.5546875" customWidth="1"/>
  </cols>
  <sheetData>
    <row r="1" spans="1:23" ht="15.6" x14ac:dyDescent="0.3">
      <c r="A1" s="45" t="s">
        <v>50</v>
      </c>
      <c r="B1" s="45"/>
      <c r="C1" s="45"/>
      <c r="D1" s="45" t="s">
        <v>51</v>
      </c>
      <c r="E1" s="45"/>
      <c r="F1" s="45"/>
      <c r="H1" s="50" t="s">
        <v>55</v>
      </c>
      <c r="I1" s="51" t="s">
        <v>41</v>
      </c>
      <c r="J1" s="52"/>
      <c r="K1" s="52"/>
      <c r="O1" s="48" t="s">
        <v>42</v>
      </c>
      <c r="P1" s="43" t="s">
        <v>41</v>
      </c>
      <c r="Q1" s="44"/>
      <c r="R1" s="44"/>
      <c r="T1" s="48" t="s">
        <v>54</v>
      </c>
      <c r="U1" s="43" t="s">
        <v>41</v>
      </c>
      <c r="V1" s="44"/>
      <c r="W1" s="44"/>
    </row>
    <row r="2" spans="1:23" ht="15.6" customHeight="1" x14ac:dyDescent="0.3">
      <c r="A2" s="46" t="s">
        <v>41</v>
      </c>
      <c r="B2" s="47"/>
      <c r="C2" s="47"/>
      <c r="D2" s="46" t="s">
        <v>41</v>
      </c>
      <c r="E2" s="47"/>
      <c r="F2" s="47"/>
      <c r="H2" s="50"/>
      <c r="I2" s="12" t="s">
        <v>21</v>
      </c>
      <c r="J2" s="12" t="s">
        <v>22</v>
      </c>
      <c r="K2" s="12" t="s">
        <v>20</v>
      </c>
      <c r="O2" s="49"/>
      <c r="P2" s="12" t="s">
        <v>21</v>
      </c>
      <c r="Q2" s="12" t="s">
        <v>22</v>
      </c>
      <c r="R2" s="12" t="s">
        <v>20</v>
      </c>
      <c r="T2" s="49"/>
      <c r="U2" s="12" t="s">
        <v>21</v>
      </c>
      <c r="V2" s="12" t="s">
        <v>22</v>
      </c>
      <c r="W2" s="12" t="s">
        <v>20</v>
      </c>
    </row>
    <row r="3" spans="1:23" ht="15.6" x14ac:dyDescent="0.3">
      <c r="A3" s="27" t="s">
        <v>21</v>
      </c>
      <c r="B3" s="27" t="s">
        <v>22</v>
      </c>
      <c r="C3" s="27" t="s">
        <v>20</v>
      </c>
      <c r="D3" s="27" t="s">
        <v>21</v>
      </c>
      <c r="E3" s="27" t="s">
        <v>22</v>
      </c>
      <c r="F3" s="27" t="s">
        <v>20</v>
      </c>
      <c r="H3" s="24" t="s">
        <v>45</v>
      </c>
      <c r="I3" s="23">
        <f>QUARTILE(A4:A122,1)</f>
        <v>1234</v>
      </c>
      <c r="J3" s="18">
        <f>QUARTILE(B4:B61,1)</f>
        <v>1546</v>
      </c>
      <c r="K3" s="18">
        <f>QUARTILE(C4:C191,1)</f>
        <v>1473.75</v>
      </c>
      <c r="O3" s="8" t="s">
        <v>29</v>
      </c>
      <c r="P3" s="15">
        <f>AVERAGE($A$4:$A$122)</f>
        <v>2126.0084033613443</v>
      </c>
      <c r="Q3" s="15">
        <f>AVERAGE($B$4:$B$122)</f>
        <v>2182.2758620689656</v>
      </c>
      <c r="R3" s="15">
        <f>AVERAGE($C$4:$C$122)</f>
        <v>2286.5294117647059</v>
      </c>
      <c r="T3" s="8" t="s">
        <v>29</v>
      </c>
      <c r="U3" s="15"/>
      <c r="V3" s="15"/>
      <c r="W3" s="15"/>
    </row>
    <row r="4" spans="1:23" ht="15.6" x14ac:dyDescent="0.3">
      <c r="A4" s="33">
        <v>1708</v>
      </c>
      <c r="B4" s="33">
        <v>2661</v>
      </c>
      <c r="C4" s="33">
        <v>2564</v>
      </c>
      <c r="D4" s="33">
        <v>1708</v>
      </c>
      <c r="E4" s="33">
        <v>2661</v>
      </c>
      <c r="F4" s="33">
        <v>2564</v>
      </c>
      <c r="H4" s="24" t="s">
        <v>47</v>
      </c>
      <c r="I4" s="23">
        <f>QUARTILE(A4:A122,3)</f>
        <v>3041</v>
      </c>
      <c r="J4" s="18">
        <f>QUARTILE(B4:B61,3)</f>
        <v>2789.25</v>
      </c>
      <c r="K4" s="18">
        <f>QUARTILE(C4:C191,3)</f>
        <v>3100.75</v>
      </c>
      <c r="O4" s="8" t="s">
        <v>30</v>
      </c>
      <c r="P4" s="15">
        <f>MEDIAN($A$4:$A$122)</f>
        <v>2121</v>
      </c>
      <c r="Q4" s="15">
        <f>MEDIAN($B$4:$B$122)</f>
        <v>2102</v>
      </c>
      <c r="R4" s="15">
        <f>MEDIAN($C$4:$C$122)</f>
        <v>2404</v>
      </c>
      <c r="T4" s="8" t="s">
        <v>30</v>
      </c>
      <c r="U4" s="15"/>
      <c r="V4" s="15"/>
      <c r="W4" s="15"/>
    </row>
    <row r="5" spans="1:23" ht="15.6" x14ac:dyDescent="0.3">
      <c r="A5" s="33">
        <v>1776</v>
      </c>
      <c r="B5" s="33">
        <v>1333</v>
      </c>
      <c r="C5" s="33">
        <v>2463</v>
      </c>
      <c r="D5" s="33">
        <v>1776</v>
      </c>
      <c r="E5" s="33">
        <v>1333</v>
      </c>
      <c r="F5" s="33">
        <v>2463</v>
      </c>
      <c r="H5" s="25" t="s">
        <v>46</v>
      </c>
      <c r="I5" s="19">
        <f>I4-I3</f>
        <v>1807</v>
      </c>
      <c r="J5" s="19">
        <f>J4-J3</f>
        <v>1243.25</v>
      </c>
      <c r="K5" s="19">
        <f>K4-K3</f>
        <v>1627</v>
      </c>
      <c r="L5" s="20"/>
      <c r="M5" s="20"/>
      <c r="O5" s="8" t="s">
        <v>31</v>
      </c>
      <c r="P5" s="15">
        <f>MODE($A$4:$A$122)</f>
        <v>2210</v>
      </c>
      <c r="Q5" s="15">
        <f>MODE($B$4:$B$122)</f>
        <v>2099</v>
      </c>
      <c r="R5" s="15">
        <f>MODE($C$4:$C$122)</f>
        <v>2463</v>
      </c>
      <c r="T5" s="8" t="s">
        <v>31</v>
      </c>
      <c r="U5" s="15"/>
      <c r="V5" s="15"/>
      <c r="W5" s="15"/>
    </row>
    <row r="6" spans="1:23" x14ac:dyDescent="0.3">
      <c r="A6" s="33">
        <v>2131</v>
      </c>
      <c r="B6" s="33">
        <v>3897</v>
      </c>
      <c r="C6" s="33">
        <v>3007</v>
      </c>
      <c r="D6" s="33">
        <v>2131</v>
      </c>
      <c r="E6" s="33">
        <v>3897</v>
      </c>
      <c r="F6" s="33">
        <v>3007</v>
      </c>
      <c r="H6" s="25" t="s">
        <v>48</v>
      </c>
      <c r="I6" s="19">
        <f>I3-1.5*I5</f>
        <v>-1476.5</v>
      </c>
      <c r="J6" s="19">
        <f>J3-1.5*J5</f>
        <v>-318.875</v>
      </c>
      <c r="K6" s="19">
        <f>K3-1.5*K5</f>
        <v>-966.75</v>
      </c>
      <c r="L6" s="20"/>
      <c r="M6" s="20"/>
    </row>
    <row r="7" spans="1:23" x14ac:dyDescent="0.3">
      <c r="A7" s="33">
        <v>3135</v>
      </c>
      <c r="B7" s="33">
        <v>3566</v>
      </c>
      <c r="C7" s="33">
        <v>2157</v>
      </c>
      <c r="D7" s="33">
        <v>3135</v>
      </c>
      <c r="E7" s="33">
        <v>3566</v>
      </c>
      <c r="F7" s="33">
        <v>2157</v>
      </c>
      <c r="H7" s="25" t="s">
        <v>49</v>
      </c>
      <c r="I7" s="19">
        <f>I4+1.5*I5</f>
        <v>5751.5</v>
      </c>
      <c r="J7" s="19">
        <f>J4+1.5*J5</f>
        <v>4654.125</v>
      </c>
      <c r="K7" s="19">
        <f>K4+1.5*K5</f>
        <v>5541.25</v>
      </c>
      <c r="L7" s="20"/>
      <c r="M7" s="20"/>
      <c r="T7" s="34"/>
      <c r="U7" s="34"/>
      <c r="V7" s="34"/>
      <c r="W7" s="34"/>
    </row>
    <row r="8" spans="1:23" x14ac:dyDescent="0.3">
      <c r="A8" s="33">
        <v>748</v>
      </c>
      <c r="B8" s="33">
        <v>2105</v>
      </c>
      <c r="C8" s="33">
        <v>927</v>
      </c>
      <c r="D8" s="33">
        <v>748</v>
      </c>
      <c r="E8" s="33">
        <v>2105</v>
      </c>
      <c r="F8" s="33">
        <v>927</v>
      </c>
      <c r="T8" s="34"/>
      <c r="U8" s="34"/>
      <c r="V8" s="34"/>
      <c r="W8" s="34"/>
    </row>
    <row r="9" spans="1:23" x14ac:dyDescent="0.3">
      <c r="A9" s="33">
        <v>1701</v>
      </c>
      <c r="B9" s="33">
        <v>1059</v>
      </c>
      <c r="C9" s="33">
        <v>1922</v>
      </c>
      <c r="D9" s="33">
        <v>1701</v>
      </c>
      <c r="E9" s="33">
        <v>1059</v>
      </c>
      <c r="F9" s="33">
        <v>1922</v>
      </c>
      <c r="T9" s="34"/>
      <c r="U9" s="34"/>
      <c r="V9" s="34"/>
      <c r="W9" s="34"/>
    </row>
    <row r="10" spans="1:23" x14ac:dyDescent="0.3">
      <c r="A10" s="33">
        <v>2328</v>
      </c>
      <c r="B10" s="33">
        <v>2099</v>
      </c>
      <c r="C10" s="33">
        <v>1561</v>
      </c>
      <c r="D10" s="33">
        <v>2328</v>
      </c>
      <c r="E10" s="33">
        <v>2099</v>
      </c>
      <c r="F10" s="33">
        <v>1561</v>
      </c>
      <c r="T10" s="34"/>
      <c r="U10" s="34"/>
      <c r="V10" s="34"/>
      <c r="W10" s="34"/>
    </row>
    <row r="11" spans="1:23" x14ac:dyDescent="0.3">
      <c r="A11" s="33">
        <v>1793</v>
      </c>
      <c r="B11" s="33">
        <v>622</v>
      </c>
      <c r="C11" s="33">
        <v>2978</v>
      </c>
      <c r="D11" s="33">
        <v>1793</v>
      </c>
      <c r="E11" s="33">
        <v>622</v>
      </c>
      <c r="F11" s="33">
        <v>2978</v>
      </c>
      <c r="T11" s="34"/>
      <c r="U11" s="34"/>
      <c r="V11" s="34"/>
      <c r="W11" s="34"/>
    </row>
    <row r="12" spans="1:23" x14ac:dyDescent="0.3">
      <c r="A12" s="33">
        <v>1890</v>
      </c>
      <c r="B12" s="33">
        <v>2357</v>
      </c>
      <c r="C12" s="33">
        <v>3738</v>
      </c>
      <c r="D12" s="33">
        <v>1890</v>
      </c>
      <c r="E12" s="33">
        <v>2357</v>
      </c>
      <c r="F12" s="33">
        <v>3738</v>
      </c>
      <c r="T12" s="34"/>
      <c r="U12" s="34"/>
      <c r="V12" s="34"/>
      <c r="W12" s="34"/>
    </row>
    <row r="13" spans="1:23" x14ac:dyDescent="0.3">
      <c r="A13" s="33">
        <v>3123</v>
      </c>
      <c r="B13" s="33">
        <v>2088</v>
      </c>
      <c r="C13" s="33">
        <v>3490</v>
      </c>
      <c r="D13" s="33">
        <v>3123</v>
      </c>
      <c r="E13" s="33">
        <v>2088</v>
      </c>
      <c r="F13" s="33">
        <v>3490</v>
      </c>
      <c r="T13" s="34"/>
      <c r="U13" s="34"/>
      <c r="V13" s="34"/>
      <c r="W13" s="34"/>
    </row>
    <row r="14" spans="1:23" x14ac:dyDescent="0.3">
      <c r="A14" s="33">
        <v>534</v>
      </c>
      <c r="B14" s="33">
        <v>3996</v>
      </c>
      <c r="C14" s="33">
        <v>593</v>
      </c>
      <c r="D14" s="33">
        <v>534</v>
      </c>
      <c r="E14" s="33">
        <v>3996</v>
      </c>
      <c r="F14" s="33">
        <v>593</v>
      </c>
      <c r="T14" s="34"/>
      <c r="U14" s="34"/>
      <c r="V14" s="34"/>
      <c r="W14" s="34"/>
    </row>
    <row r="15" spans="1:23" x14ac:dyDescent="0.3">
      <c r="A15" s="33">
        <v>1002</v>
      </c>
      <c r="B15" s="33">
        <v>1901</v>
      </c>
      <c r="C15" s="33">
        <v>1708</v>
      </c>
      <c r="D15" s="33">
        <v>1002</v>
      </c>
      <c r="E15" s="33">
        <v>1901</v>
      </c>
      <c r="F15" s="33">
        <v>1708</v>
      </c>
      <c r="T15" s="34"/>
      <c r="U15" s="34"/>
      <c r="V15" s="34"/>
      <c r="W15" s="34"/>
    </row>
    <row r="16" spans="1:23" x14ac:dyDescent="0.3">
      <c r="A16" s="33">
        <v>885</v>
      </c>
      <c r="B16" s="33">
        <v>2787</v>
      </c>
      <c r="C16" s="33">
        <v>3816</v>
      </c>
      <c r="D16" s="33">
        <v>885</v>
      </c>
      <c r="E16" s="33">
        <v>2787</v>
      </c>
      <c r="F16" s="33">
        <v>3816</v>
      </c>
      <c r="T16" s="34"/>
      <c r="U16" s="34"/>
      <c r="V16" s="34"/>
      <c r="W16" s="34"/>
    </row>
    <row r="17" spans="1:23" x14ac:dyDescent="0.3">
      <c r="A17" s="33">
        <v>2935</v>
      </c>
      <c r="B17" s="33">
        <v>623</v>
      </c>
      <c r="C17" s="33">
        <v>2570</v>
      </c>
      <c r="D17" s="33">
        <v>2935</v>
      </c>
      <c r="E17" s="33">
        <v>623</v>
      </c>
      <c r="F17" s="33">
        <v>2570</v>
      </c>
      <c r="T17" s="34"/>
      <c r="U17" s="34"/>
      <c r="V17" s="34"/>
      <c r="W17" s="34"/>
    </row>
    <row r="18" spans="1:23" x14ac:dyDescent="0.3">
      <c r="A18" s="33">
        <v>1300</v>
      </c>
      <c r="B18" s="33">
        <v>1102</v>
      </c>
      <c r="C18" s="33">
        <v>3134</v>
      </c>
      <c r="D18" s="33">
        <v>1300</v>
      </c>
      <c r="E18" s="33">
        <v>1102</v>
      </c>
      <c r="F18" s="33">
        <v>3134</v>
      </c>
      <c r="T18" s="34"/>
      <c r="U18" s="34"/>
      <c r="V18" s="34"/>
      <c r="W18" s="34"/>
    </row>
    <row r="19" spans="1:23" x14ac:dyDescent="0.3">
      <c r="A19" s="33">
        <v>2527</v>
      </c>
      <c r="B19" s="33">
        <v>2215</v>
      </c>
      <c r="C19" s="33">
        <v>3978</v>
      </c>
      <c r="D19" s="33">
        <v>2527</v>
      </c>
      <c r="E19" s="33">
        <v>2215</v>
      </c>
      <c r="F19" s="33">
        <v>3978</v>
      </c>
      <c r="T19" s="34"/>
      <c r="U19" s="34"/>
      <c r="V19" s="34"/>
      <c r="W19" s="34"/>
    </row>
    <row r="20" spans="1:23" x14ac:dyDescent="0.3">
      <c r="A20" s="33">
        <v>3176</v>
      </c>
      <c r="B20" s="33">
        <v>512</v>
      </c>
      <c r="C20" s="33">
        <v>1329</v>
      </c>
      <c r="D20" s="33">
        <v>3176</v>
      </c>
      <c r="E20" s="33">
        <v>512</v>
      </c>
      <c r="F20" s="33">
        <v>1329</v>
      </c>
    </row>
    <row r="21" spans="1:23" x14ac:dyDescent="0.3">
      <c r="A21" s="33">
        <v>3683</v>
      </c>
      <c r="B21" s="33">
        <v>2305</v>
      </c>
      <c r="C21" s="33">
        <v>1301</v>
      </c>
      <c r="D21" s="33">
        <v>3683</v>
      </c>
      <c r="E21" s="33">
        <v>2305</v>
      </c>
      <c r="F21" s="33">
        <v>1301</v>
      </c>
    </row>
    <row r="22" spans="1:23" x14ac:dyDescent="0.3">
      <c r="A22" s="33">
        <v>905</v>
      </c>
      <c r="B22" s="33">
        <v>1600</v>
      </c>
      <c r="C22" s="33">
        <v>3081</v>
      </c>
      <c r="D22" s="33">
        <v>905</v>
      </c>
      <c r="E22" s="33">
        <v>1600</v>
      </c>
      <c r="F22" s="33">
        <v>3081</v>
      </c>
    </row>
    <row r="23" spans="1:23" x14ac:dyDescent="0.3">
      <c r="A23" s="33">
        <v>1394</v>
      </c>
      <c r="B23" s="33">
        <v>1136</v>
      </c>
      <c r="C23" s="33">
        <v>695</v>
      </c>
      <c r="D23" s="33">
        <v>1394</v>
      </c>
      <c r="E23" s="33">
        <v>1136</v>
      </c>
      <c r="F23" s="33">
        <v>695</v>
      </c>
    </row>
    <row r="24" spans="1:23" x14ac:dyDescent="0.3">
      <c r="A24" s="33">
        <v>2027</v>
      </c>
      <c r="B24" s="33">
        <v>2141</v>
      </c>
      <c r="C24" s="33">
        <v>3196</v>
      </c>
      <c r="D24" s="33">
        <v>2027</v>
      </c>
      <c r="E24" s="33">
        <v>2141</v>
      </c>
      <c r="F24" s="33">
        <v>3196</v>
      </c>
    </row>
    <row r="25" spans="1:23" x14ac:dyDescent="0.3">
      <c r="A25" s="33">
        <v>3796</v>
      </c>
      <c r="B25" s="33">
        <v>3425</v>
      </c>
      <c r="C25" s="33">
        <v>3268</v>
      </c>
      <c r="D25" s="33">
        <v>3796</v>
      </c>
      <c r="E25" s="33">
        <v>3425</v>
      </c>
      <c r="F25" s="33">
        <v>3268</v>
      </c>
    </row>
    <row r="26" spans="1:23" x14ac:dyDescent="0.3">
      <c r="A26" s="33">
        <v>2006</v>
      </c>
      <c r="B26" s="33">
        <v>3693</v>
      </c>
      <c r="C26" s="33">
        <v>3891</v>
      </c>
      <c r="D26" s="33">
        <v>2006</v>
      </c>
      <c r="E26" s="33">
        <v>3693</v>
      </c>
      <c r="F26" s="33">
        <v>3891</v>
      </c>
    </row>
    <row r="27" spans="1:23" x14ac:dyDescent="0.3">
      <c r="A27" s="33">
        <v>2215</v>
      </c>
      <c r="B27" s="33">
        <v>928</v>
      </c>
      <c r="C27" s="33">
        <v>1387</v>
      </c>
      <c r="D27" s="33">
        <v>2215</v>
      </c>
      <c r="E27" s="33">
        <v>928</v>
      </c>
      <c r="F27" s="33">
        <v>1387</v>
      </c>
    </row>
    <row r="28" spans="1:23" x14ac:dyDescent="0.3">
      <c r="A28" s="33">
        <v>2210</v>
      </c>
      <c r="B28" s="33">
        <v>2214</v>
      </c>
      <c r="C28" s="33">
        <v>853</v>
      </c>
      <c r="D28" s="33">
        <v>2210</v>
      </c>
      <c r="E28" s="33">
        <v>2214</v>
      </c>
      <c r="F28" s="33">
        <v>853</v>
      </c>
    </row>
    <row r="29" spans="1:23" x14ac:dyDescent="0.3">
      <c r="A29" s="33">
        <v>744</v>
      </c>
      <c r="B29" s="33">
        <v>1710</v>
      </c>
      <c r="C29" s="33">
        <v>3353</v>
      </c>
      <c r="D29" s="33">
        <v>744</v>
      </c>
      <c r="E29" s="33">
        <v>1710</v>
      </c>
      <c r="F29" s="33">
        <v>3353</v>
      </c>
    </row>
    <row r="30" spans="1:23" x14ac:dyDescent="0.3">
      <c r="A30" s="33">
        <v>1240</v>
      </c>
      <c r="B30" s="33">
        <v>3655</v>
      </c>
      <c r="C30" s="33">
        <v>877</v>
      </c>
      <c r="D30" s="33">
        <v>1240</v>
      </c>
      <c r="E30" s="33">
        <v>3655</v>
      </c>
      <c r="F30" s="33">
        <v>877</v>
      </c>
    </row>
    <row r="31" spans="1:23" x14ac:dyDescent="0.3">
      <c r="A31" s="33">
        <v>547</v>
      </c>
      <c r="B31" s="33">
        <v>3498</v>
      </c>
      <c r="C31" s="33">
        <v>910</v>
      </c>
      <c r="D31" s="33">
        <v>547</v>
      </c>
      <c r="E31" s="33">
        <v>3498</v>
      </c>
      <c r="F31" s="33">
        <v>910</v>
      </c>
    </row>
    <row r="32" spans="1:23" x14ac:dyDescent="0.3">
      <c r="A32" s="33">
        <v>2418</v>
      </c>
      <c r="B32" s="33">
        <v>786</v>
      </c>
      <c r="C32" s="33">
        <v>2283</v>
      </c>
      <c r="D32" s="33">
        <v>2418</v>
      </c>
      <c r="E32" s="33">
        <v>786</v>
      </c>
      <c r="F32" s="33">
        <v>2283</v>
      </c>
    </row>
    <row r="33" spans="1:6" x14ac:dyDescent="0.3">
      <c r="A33" s="33">
        <v>1784</v>
      </c>
      <c r="B33" s="33">
        <v>3285</v>
      </c>
      <c r="C33" s="33">
        <v>827</v>
      </c>
      <c r="D33" s="33">
        <v>1784</v>
      </c>
      <c r="E33" s="33">
        <v>3285</v>
      </c>
      <c r="F33" s="33">
        <v>827</v>
      </c>
    </row>
    <row r="34" spans="1:6" x14ac:dyDescent="0.3">
      <c r="A34" s="33">
        <v>2901</v>
      </c>
      <c r="B34" s="33">
        <v>3351</v>
      </c>
      <c r="C34" s="33">
        <v>3342</v>
      </c>
      <c r="D34" s="33">
        <v>2901</v>
      </c>
      <c r="E34" s="33">
        <v>3351</v>
      </c>
      <c r="F34" s="33">
        <v>3342</v>
      </c>
    </row>
    <row r="35" spans="1:6" x14ac:dyDescent="0.3">
      <c r="A35" s="33">
        <v>3568</v>
      </c>
      <c r="B35" s="33">
        <v>2746</v>
      </c>
      <c r="C35" s="33">
        <v>1222</v>
      </c>
      <c r="D35" s="33">
        <v>3568</v>
      </c>
      <c r="E35" s="33">
        <v>2746</v>
      </c>
      <c r="F35" s="33">
        <v>1222</v>
      </c>
    </row>
    <row r="36" spans="1:6" x14ac:dyDescent="0.3">
      <c r="A36" s="33">
        <v>2210</v>
      </c>
      <c r="B36" s="33">
        <v>2663</v>
      </c>
      <c r="C36" s="33">
        <v>665</v>
      </c>
      <c r="D36" s="33">
        <v>2210</v>
      </c>
      <c r="E36" s="33">
        <v>2663</v>
      </c>
      <c r="F36" s="33">
        <v>665</v>
      </c>
    </row>
    <row r="37" spans="1:6" x14ac:dyDescent="0.3">
      <c r="A37" s="33">
        <v>3118</v>
      </c>
      <c r="B37" s="33">
        <v>1673</v>
      </c>
      <c r="C37" s="33">
        <v>3598</v>
      </c>
      <c r="D37" s="33">
        <v>3118</v>
      </c>
      <c r="E37" s="33">
        <v>1673</v>
      </c>
      <c r="F37" s="33">
        <v>3598</v>
      </c>
    </row>
    <row r="38" spans="1:6" x14ac:dyDescent="0.3">
      <c r="A38" s="33">
        <v>540</v>
      </c>
      <c r="B38" s="33">
        <v>1613</v>
      </c>
      <c r="C38" s="33">
        <v>3463</v>
      </c>
      <c r="D38" s="33">
        <v>540</v>
      </c>
      <c r="E38" s="33">
        <v>1613</v>
      </c>
      <c r="F38" s="33">
        <v>3463</v>
      </c>
    </row>
    <row r="39" spans="1:6" x14ac:dyDescent="0.3">
      <c r="A39" s="33">
        <v>3409</v>
      </c>
      <c r="B39" s="33">
        <v>1163</v>
      </c>
      <c r="C39" s="33">
        <v>2694</v>
      </c>
      <c r="D39" s="33">
        <v>3409</v>
      </c>
      <c r="E39" s="33">
        <v>1163</v>
      </c>
      <c r="F39" s="33">
        <v>2694</v>
      </c>
    </row>
    <row r="40" spans="1:6" x14ac:dyDescent="0.3">
      <c r="A40" s="33">
        <v>2442</v>
      </c>
      <c r="B40" s="33">
        <v>896</v>
      </c>
      <c r="C40" s="33">
        <v>3829</v>
      </c>
      <c r="D40" s="33">
        <v>2442</v>
      </c>
      <c r="E40" s="33">
        <v>896</v>
      </c>
      <c r="F40" s="33">
        <v>3829</v>
      </c>
    </row>
    <row r="41" spans="1:6" x14ac:dyDescent="0.3">
      <c r="A41" s="33">
        <v>3667</v>
      </c>
      <c r="B41" s="33">
        <v>1211</v>
      </c>
      <c r="C41" s="33">
        <v>2866</v>
      </c>
      <c r="D41" s="33">
        <v>3667</v>
      </c>
      <c r="E41" s="33">
        <v>1211</v>
      </c>
      <c r="F41" s="33">
        <v>2866</v>
      </c>
    </row>
    <row r="42" spans="1:6" x14ac:dyDescent="0.3">
      <c r="A42" s="33">
        <v>2662</v>
      </c>
      <c r="B42" s="33">
        <v>2819</v>
      </c>
      <c r="C42" s="33">
        <v>3430</v>
      </c>
      <c r="D42" s="33">
        <v>2662</v>
      </c>
      <c r="E42" s="33">
        <v>2819</v>
      </c>
      <c r="F42" s="33">
        <v>3430</v>
      </c>
    </row>
    <row r="43" spans="1:6" x14ac:dyDescent="0.3">
      <c r="A43" s="33">
        <v>2863</v>
      </c>
      <c r="B43" s="33">
        <v>2210</v>
      </c>
      <c r="C43" s="33">
        <v>676</v>
      </c>
      <c r="D43" s="33">
        <v>2863</v>
      </c>
      <c r="E43" s="33">
        <v>2210</v>
      </c>
      <c r="F43" s="33">
        <v>676</v>
      </c>
    </row>
    <row r="44" spans="1:6" x14ac:dyDescent="0.3">
      <c r="A44" s="33">
        <v>2879</v>
      </c>
      <c r="B44" s="33">
        <v>2133</v>
      </c>
      <c r="C44" s="33">
        <v>1514</v>
      </c>
      <c r="D44" s="33">
        <v>2879</v>
      </c>
      <c r="E44" s="33">
        <v>2133</v>
      </c>
      <c r="F44" s="33">
        <v>1514</v>
      </c>
    </row>
    <row r="45" spans="1:6" x14ac:dyDescent="0.3">
      <c r="A45" s="33">
        <v>918</v>
      </c>
      <c r="B45" s="33">
        <v>3959</v>
      </c>
      <c r="C45" s="33">
        <v>3194</v>
      </c>
      <c r="D45" s="33">
        <v>918</v>
      </c>
      <c r="E45" s="33">
        <v>3959</v>
      </c>
      <c r="F45" s="33">
        <v>3194</v>
      </c>
    </row>
    <row r="46" spans="1:6" x14ac:dyDescent="0.3">
      <c r="A46" s="33">
        <v>3000</v>
      </c>
      <c r="B46" s="33">
        <v>944</v>
      </c>
      <c r="C46" s="33">
        <v>1658</v>
      </c>
      <c r="D46" s="33">
        <v>3000</v>
      </c>
      <c r="E46" s="33">
        <v>944</v>
      </c>
      <c r="F46" s="33">
        <v>1658</v>
      </c>
    </row>
    <row r="47" spans="1:6" x14ac:dyDescent="0.3">
      <c r="A47" s="33">
        <v>1279</v>
      </c>
      <c r="B47" s="33">
        <v>2099</v>
      </c>
      <c r="C47" s="33">
        <v>3332</v>
      </c>
      <c r="D47" s="33">
        <v>1279</v>
      </c>
      <c r="E47" s="33">
        <v>2099</v>
      </c>
      <c r="F47" s="33">
        <v>3332</v>
      </c>
    </row>
    <row r="48" spans="1:6" x14ac:dyDescent="0.3">
      <c r="A48" s="33">
        <v>1531</v>
      </c>
      <c r="B48" s="33">
        <v>1684</v>
      </c>
      <c r="C48" s="33">
        <v>2137</v>
      </c>
      <c r="D48" s="33">
        <v>1531</v>
      </c>
      <c r="E48" s="33">
        <v>1684</v>
      </c>
      <c r="F48" s="33">
        <v>2137</v>
      </c>
    </row>
    <row r="49" spans="1:6" x14ac:dyDescent="0.3">
      <c r="A49" s="33">
        <v>1330</v>
      </c>
      <c r="B49" s="33">
        <v>1405</v>
      </c>
      <c r="C49" s="33">
        <v>3781</v>
      </c>
      <c r="D49" s="33">
        <v>1330</v>
      </c>
      <c r="E49" s="33">
        <v>1405</v>
      </c>
      <c r="F49" s="33">
        <v>3781</v>
      </c>
    </row>
    <row r="50" spans="1:6" x14ac:dyDescent="0.3">
      <c r="A50" s="33">
        <v>742</v>
      </c>
      <c r="B50" s="33">
        <v>2207</v>
      </c>
      <c r="C50" s="33">
        <v>2380</v>
      </c>
      <c r="D50" s="33">
        <v>742</v>
      </c>
      <c r="E50" s="33">
        <v>2207</v>
      </c>
      <c r="F50" s="33">
        <v>2380</v>
      </c>
    </row>
    <row r="51" spans="1:6" x14ac:dyDescent="0.3">
      <c r="A51" s="33">
        <v>2173</v>
      </c>
      <c r="B51" s="33">
        <v>1528</v>
      </c>
      <c r="C51" s="33">
        <v>1274</v>
      </c>
      <c r="D51" s="33">
        <v>2173</v>
      </c>
      <c r="E51" s="33">
        <v>1528</v>
      </c>
      <c r="F51" s="33">
        <v>1274</v>
      </c>
    </row>
    <row r="52" spans="1:6" x14ac:dyDescent="0.3">
      <c r="A52" s="33">
        <v>2931</v>
      </c>
      <c r="B52" s="33">
        <v>1784</v>
      </c>
      <c r="C52" s="33">
        <v>3432</v>
      </c>
      <c r="D52" s="33">
        <v>2931</v>
      </c>
      <c r="E52" s="33">
        <v>1784</v>
      </c>
      <c r="F52" s="33">
        <v>3432</v>
      </c>
    </row>
    <row r="53" spans="1:6" x14ac:dyDescent="0.3">
      <c r="A53" s="33">
        <v>3399</v>
      </c>
      <c r="B53" s="33">
        <v>2790</v>
      </c>
      <c r="C53" s="33">
        <v>2887</v>
      </c>
      <c r="D53" s="33">
        <v>3399</v>
      </c>
      <c r="E53" s="33">
        <v>2790</v>
      </c>
      <c r="F53" s="33">
        <v>2887</v>
      </c>
    </row>
    <row r="54" spans="1:6" x14ac:dyDescent="0.3">
      <c r="A54" s="33">
        <v>815</v>
      </c>
      <c r="B54" s="33">
        <v>2387</v>
      </c>
      <c r="C54" s="33">
        <v>3883</v>
      </c>
      <c r="D54" s="33">
        <v>815</v>
      </c>
      <c r="E54" s="33">
        <v>2387</v>
      </c>
      <c r="F54" s="33">
        <v>3883</v>
      </c>
    </row>
    <row r="55" spans="1:6" x14ac:dyDescent="0.3">
      <c r="A55" s="33">
        <v>1022</v>
      </c>
      <c r="B55" s="33">
        <v>1915</v>
      </c>
      <c r="C55" s="33">
        <v>3270</v>
      </c>
      <c r="D55" s="33">
        <v>1022</v>
      </c>
      <c r="E55" s="33">
        <v>1915</v>
      </c>
      <c r="F55" s="33">
        <v>3270</v>
      </c>
    </row>
    <row r="56" spans="1:6" x14ac:dyDescent="0.3">
      <c r="A56" s="33">
        <v>925</v>
      </c>
      <c r="B56" s="33">
        <v>3849</v>
      </c>
      <c r="C56" s="33">
        <v>822</v>
      </c>
      <c r="D56" s="33">
        <v>925</v>
      </c>
      <c r="E56" s="33">
        <v>3849</v>
      </c>
      <c r="F56" s="33">
        <v>822</v>
      </c>
    </row>
    <row r="57" spans="1:6" x14ac:dyDescent="0.3">
      <c r="A57" s="33">
        <v>3082</v>
      </c>
      <c r="B57" s="33">
        <v>1678</v>
      </c>
      <c r="C57" s="33">
        <v>3066</v>
      </c>
      <c r="D57" s="33">
        <v>3082</v>
      </c>
      <c r="E57" s="33">
        <v>1678</v>
      </c>
      <c r="F57" s="33">
        <v>3066</v>
      </c>
    </row>
    <row r="58" spans="1:6" x14ac:dyDescent="0.3">
      <c r="A58" s="33">
        <v>3150</v>
      </c>
      <c r="B58" s="33">
        <v>2099</v>
      </c>
      <c r="C58" s="33">
        <v>623</v>
      </c>
      <c r="D58" s="33">
        <v>3150</v>
      </c>
      <c r="E58" s="33">
        <v>2099</v>
      </c>
      <c r="F58" s="33">
        <v>623</v>
      </c>
    </row>
    <row r="59" spans="1:6" x14ac:dyDescent="0.3">
      <c r="A59" s="33">
        <v>2539</v>
      </c>
      <c r="B59" s="33">
        <v>3109</v>
      </c>
      <c r="C59" s="33">
        <v>3592</v>
      </c>
      <c r="D59" s="33">
        <v>2539</v>
      </c>
      <c r="E59" s="33">
        <v>3109</v>
      </c>
      <c r="F59" s="33">
        <v>3592</v>
      </c>
    </row>
    <row r="60" spans="1:6" x14ac:dyDescent="0.3">
      <c r="A60" s="33">
        <v>1007</v>
      </c>
      <c r="B60" s="33">
        <v>2099</v>
      </c>
      <c r="C60" s="33">
        <v>3753</v>
      </c>
      <c r="D60" s="33">
        <v>1007</v>
      </c>
      <c r="E60" s="33">
        <v>2099</v>
      </c>
      <c r="F60" s="33">
        <v>3753</v>
      </c>
    </row>
    <row r="61" spans="1:6" x14ac:dyDescent="0.3">
      <c r="A61" s="33">
        <v>972</v>
      </c>
      <c r="B61" s="33">
        <v>3259</v>
      </c>
      <c r="C61" s="33">
        <v>559</v>
      </c>
      <c r="D61" s="33">
        <v>972</v>
      </c>
      <c r="E61" s="33">
        <v>3259</v>
      </c>
      <c r="F61" s="33">
        <v>559</v>
      </c>
    </row>
    <row r="62" spans="1:6" x14ac:dyDescent="0.3">
      <c r="A62" s="33">
        <v>3170</v>
      </c>
      <c r="B62" s="33"/>
      <c r="C62" s="33">
        <v>2626</v>
      </c>
      <c r="D62" s="33">
        <v>3170</v>
      </c>
      <c r="E62" s="33"/>
      <c r="F62" s="33">
        <v>2626</v>
      </c>
    </row>
    <row r="63" spans="1:6" x14ac:dyDescent="0.3">
      <c r="A63" s="33">
        <v>2650</v>
      </c>
      <c r="B63" s="33"/>
      <c r="C63" s="33">
        <v>2463</v>
      </c>
      <c r="D63" s="33">
        <v>2650</v>
      </c>
      <c r="E63" s="33"/>
      <c r="F63" s="33">
        <v>2463</v>
      </c>
    </row>
    <row r="64" spans="1:6" x14ac:dyDescent="0.3">
      <c r="A64" s="33">
        <v>3954</v>
      </c>
      <c r="B64" s="33"/>
      <c r="C64" s="33">
        <v>532</v>
      </c>
      <c r="D64" s="33">
        <v>3954</v>
      </c>
      <c r="E64" s="33"/>
      <c r="F64" s="33">
        <v>532</v>
      </c>
    </row>
    <row r="65" spans="1:6" x14ac:dyDescent="0.3">
      <c r="A65" s="33">
        <v>2577</v>
      </c>
      <c r="B65" s="33"/>
      <c r="C65" s="33">
        <v>3001</v>
      </c>
      <c r="D65" s="33">
        <v>2577</v>
      </c>
      <c r="E65" s="33"/>
      <c r="F65" s="33">
        <v>3001</v>
      </c>
    </row>
    <row r="66" spans="1:6" x14ac:dyDescent="0.3">
      <c r="A66" s="33">
        <v>2498</v>
      </c>
      <c r="B66" s="33"/>
      <c r="C66" s="33">
        <v>3575</v>
      </c>
      <c r="D66" s="33">
        <v>2498</v>
      </c>
      <c r="E66" s="33"/>
      <c r="F66" s="33">
        <v>3575</v>
      </c>
    </row>
    <row r="67" spans="1:6" x14ac:dyDescent="0.3">
      <c r="A67" s="33">
        <v>1121</v>
      </c>
      <c r="B67" s="33"/>
      <c r="C67" s="33">
        <v>1828</v>
      </c>
      <c r="D67" s="33">
        <v>1121</v>
      </c>
      <c r="E67" s="33"/>
      <c r="F67" s="33">
        <v>1828</v>
      </c>
    </row>
    <row r="68" spans="1:6" x14ac:dyDescent="0.3">
      <c r="A68" s="33">
        <v>3402</v>
      </c>
      <c r="B68" s="33"/>
      <c r="C68" s="33">
        <v>1486</v>
      </c>
      <c r="D68" s="33">
        <v>3402</v>
      </c>
      <c r="E68" s="33"/>
      <c r="F68" s="33">
        <v>1486</v>
      </c>
    </row>
    <row r="69" spans="1:6" x14ac:dyDescent="0.3">
      <c r="A69" s="33">
        <v>3477</v>
      </c>
      <c r="B69" s="33"/>
      <c r="C69" s="33">
        <v>2404</v>
      </c>
      <c r="D69" s="33">
        <v>3477</v>
      </c>
      <c r="E69" s="33"/>
      <c r="F69" s="33">
        <v>2404</v>
      </c>
    </row>
    <row r="70" spans="1:6" x14ac:dyDescent="0.3">
      <c r="A70" s="33">
        <v>1243</v>
      </c>
      <c r="B70" s="33"/>
      <c r="C70" s="33">
        <v>3930</v>
      </c>
      <c r="D70" s="33">
        <v>1243</v>
      </c>
      <c r="E70" s="33"/>
      <c r="F70" s="33">
        <v>3930</v>
      </c>
    </row>
    <row r="71" spans="1:6" x14ac:dyDescent="0.3">
      <c r="A71" s="33">
        <v>1819</v>
      </c>
      <c r="B71" s="33"/>
      <c r="C71" s="33">
        <v>3391</v>
      </c>
      <c r="D71" s="33">
        <v>1819</v>
      </c>
      <c r="E71" s="33"/>
      <c r="F71" s="33">
        <v>3391</v>
      </c>
    </row>
    <row r="72" spans="1:6" x14ac:dyDescent="0.3">
      <c r="A72" s="33">
        <v>977</v>
      </c>
      <c r="B72" s="33"/>
      <c r="C72" s="33">
        <v>1440</v>
      </c>
      <c r="D72" s="33">
        <v>977</v>
      </c>
      <c r="E72" s="33"/>
      <c r="F72" s="33">
        <v>1440</v>
      </c>
    </row>
    <row r="73" spans="1:6" x14ac:dyDescent="0.3">
      <c r="A73" s="33">
        <v>1904</v>
      </c>
      <c r="B73" s="33"/>
      <c r="C73" s="33">
        <v>2882</v>
      </c>
      <c r="D73" s="33">
        <v>1904</v>
      </c>
      <c r="E73" s="33"/>
      <c r="F73" s="33">
        <v>2882</v>
      </c>
    </row>
    <row r="74" spans="1:6" x14ac:dyDescent="0.3">
      <c r="A74" s="33">
        <v>3645</v>
      </c>
      <c r="B74" s="33"/>
      <c r="C74" s="33">
        <v>2985</v>
      </c>
      <c r="D74" s="33">
        <v>3645</v>
      </c>
      <c r="E74" s="33"/>
      <c r="F74" s="33">
        <v>2985</v>
      </c>
    </row>
    <row r="75" spans="1:6" x14ac:dyDescent="0.3">
      <c r="A75" s="33">
        <v>3934</v>
      </c>
      <c r="B75" s="33"/>
      <c r="C75" s="33">
        <v>3092</v>
      </c>
      <c r="D75" s="33">
        <v>3934</v>
      </c>
      <c r="E75" s="33"/>
      <c r="F75" s="33">
        <v>3092</v>
      </c>
    </row>
    <row r="76" spans="1:6" x14ac:dyDescent="0.3">
      <c r="A76" s="33">
        <v>2281</v>
      </c>
      <c r="B76" s="33"/>
      <c r="C76" s="33">
        <v>3898</v>
      </c>
      <c r="D76" s="33">
        <v>2281</v>
      </c>
      <c r="E76" s="33"/>
      <c r="F76" s="33">
        <v>3898</v>
      </c>
    </row>
    <row r="77" spans="1:6" x14ac:dyDescent="0.3">
      <c r="A77" s="33">
        <v>2820</v>
      </c>
      <c r="B77" s="33"/>
      <c r="C77" s="33">
        <v>502</v>
      </c>
      <c r="D77" s="33">
        <v>2820</v>
      </c>
      <c r="E77" s="33"/>
      <c r="F77" s="33">
        <v>502</v>
      </c>
    </row>
    <row r="78" spans="1:6" x14ac:dyDescent="0.3">
      <c r="A78" s="33">
        <v>1156</v>
      </c>
      <c r="B78" s="33"/>
      <c r="C78" s="33">
        <v>2215</v>
      </c>
      <c r="D78" s="33">
        <v>1156</v>
      </c>
      <c r="E78" s="33"/>
      <c r="F78" s="33">
        <v>2215</v>
      </c>
    </row>
    <row r="79" spans="1:6" x14ac:dyDescent="0.3">
      <c r="A79" s="33">
        <v>2718</v>
      </c>
      <c r="B79" s="33"/>
      <c r="C79" s="33">
        <v>1338</v>
      </c>
      <c r="D79" s="33">
        <v>2718</v>
      </c>
      <c r="E79" s="33"/>
      <c r="F79" s="33">
        <v>1338</v>
      </c>
    </row>
    <row r="80" spans="1:6" x14ac:dyDescent="0.3">
      <c r="A80" s="33">
        <v>1678</v>
      </c>
      <c r="B80" s="33"/>
      <c r="C80" s="33">
        <v>2434</v>
      </c>
      <c r="D80" s="33">
        <v>1678</v>
      </c>
      <c r="E80" s="33"/>
      <c r="F80" s="33">
        <v>2434</v>
      </c>
    </row>
    <row r="81" spans="1:6" x14ac:dyDescent="0.3">
      <c r="A81" s="33">
        <v>3299</v>
      </c>
      <c r="B81" s="33"/>
      <c r="C81" s="33">
        <v>3452</v>
      </c>
      <c r="D81" s="33">
        <v>3299</v>
      </c>
      <c r="E81" s="33"/>
      <c r="F81" s="33">
        <v>3452</v>
      </c>
    </row>
    <row r="82" spans="1:6" x14ac:dyDescent="0.3">
      <c r="A82" s="33">
        <v>2574</v>
      </c>
      <c r="B82" s="33"/>
      <c r="C82" s="33">
        <v>891</v>
      </c>
      <c r="D82" s="33">
        <v>2574</v>
      </c>
      <c r="E82" s="33"/>
      <c r="F82" s="33">
        <v>891</v>
      </c>
    </row>
    <row r="83" spans="1:6" x14ac:dyDescent="0.3">
      <c r="A83" s="33">
        <v>2330</v>
      </c>
      <c r="B83" s="33"/>
      <c r="C83" s="33">
        <v>2463</v>
      </c>
      <c r="D83" s="33">
        <v>2330</v>
      </c>
      <c r="E83" s="33"/>
      <c r="F83" s="33">
        <v>2463</v>
      </c>
    </row>
    <row r="84" spans="1:6" x14ac:dyDescent="0.3">
      <c r="A84" s="33">
        <v>2755</v>
      </c>
      <c r="B84" s="33"/>
      <c r="C84" s="33">
        <v>2534</v>
      </c>
      <c r="D84" s="33">
        <v>2755</v>
      </c>
      <c r="E84" s="33"/>
      <c r="F84" s="33">
        <v>2534</v>
      </c>
    </row>
    <row r="85" spans="1:6" x14ac:dyDescent="0.3">
      <c r="A85" s="33">
        <v>1150</v>
      </c>
      <c r="B85" s="33"/>
      <c r="C85" s="33">
        <v>2377</v>
      </c>
      <c r="D85" s="33">
        <v>1150</v>
      </c>
      <c r="E85" s="33"/>
      <c r="F85" s="33">
        <v>2377</v>
      </c>
    </row>
    <row r="86" spans="1:6" x14ac:dyDescent="0.3">
      <c r="A86" s="33">
        <v>3251</v>
      </c>
      <c r="B86" s="33"/>
      <c r="C86" s="33">
        <v>2925</v>
      </c>
      <c r="D86" s="33">
        <v>3251</v>
      </c>
      <c r="E86" s="33"/>
      <c r="F86" s="33">
        <v>2925</v>
      </c>
    </row>
    <row r="87" spans="1:6" x14ac:dyDescent="0.3">
      <c r="A87" s="33">
        <v>1767</v>
      </c>
      <c r="B87" s="33"/>
      <c r="C87" s="33">
        <v>3739</v>
      </c>
      <c r="D87" s="33">
        <v>1767</v>
      </c>
      <c r="E87" s="33"/>
      <c r="F87" s="33">
        <v>3739</v>
      </c>
    </row>
    <row r="88" spans="1:6" x14ac:dyDescent="0.3">
      <c r="A88" s="33">
        <v>3213</v>
      </c>
      <c r="B88" s="33"/>
      <c r="C88" s="33">
        <v>824</v>
      </c>
      <c r="D88" s="33">
        <v>3213</v>
      </c>
      <c r="E88" s="33"/>
      <c r="F88" s="33">
        <v>824</v>
      </c>
    </row>
    <row r="89" spans="1:6" x14ac:dyDescent="0.3">
      <c r="A89" s="33">
        <v>3944</v>
      </c>
      <c r="B89" s="33"/>
      <c r="C89" s="33">
        <v>2016</v>
      </c>
      <c r="D89" s="33">
        <v>3944</v>
      </c>
      <c r="E89" s="33"/>
      <c r="F89" s="33">
        <v>2016</v>
      </c>
    </row>
    <row r="90" spans="1:6" x14ac:dyDescent="0.3">
      <c r="A90" s="33">
        <v>3718</v>
      </c>
      <c r="B90" s="33"/>
      <c r="C90" s="33">
        <v>1012</v>
      </c>
      <c r="D90" s="33">
        <v>3718</v>
      </c>
      <c r="E90" s="33"/>
      <c r="F90" s="33">
        <v>1012</v>
      </c>
    </row>
    <row r="91" spans="1:6" x14ac:dyDescent="0.3">
      <c r="A91" s="33">
        <v>1748</v>
      </c>
      <c r="B91" s="33"/>
      <c r="C91" s="33">
        <v>2012</v>
      </c>
      <c r="D91" s="33">
        <v>1748</v>
      </c>
      <c r="E91" s="33"/>
      <c r="F91" s="33">
        <v>2012</v>
      </c>
    </row>
    <row r="92" spans="1:6" x14ac:dyDescent="0.3">
      <c r="A92" s="33">
        <v>3521</v>
      </c>
      <c r="B92" s="33"/>
      <c r="C92" s="33">
        <v>1477</v>
      </c>
      <c r="D92" s="33">
        <v>3521</v>
      </c>
      <c r="E92" s="33"/>
      <c r="F92" s="33">
        <v>1477</v>
      </c>
    </row>
    <row r="93" spans="1:6" x14ac:dyDescent="0.3">
      <c r="A93" s="33">
        <v>3104</v>
      </c>
      <c r="B93" s="33"/>
      <c r="C93" s="33">
        <v>3972</v>
      </c>
      <c r="D93" s="33">
        <v>3104</v>
      </c>
      <c r="E93" s="33"/>
      <c r="F93" s="33">
        <v>3972</v>
      </c>
    </row>
    <row r="94" spans="1:6" x14ac:dyDescent="0.3">
      <c r="A94" s="33">
        <v>3533</v>
      </c>
      <c r="B94" s="33"/>
      <c r="C94" s="33">
        <v>2038</v>
      </c>
      <c r="D94" s="33">
        <v>3533</v>
      </c>
      <c r="E94" s="33"/>
      <c r="F94" s="33">
        <v>2038</v>
      </c>
    </row>
    <row r="95" spans="1:6" x14ac:dyDescent="0.3">
      <c r="A95" s="33">
        <v>3411</v>
      </c>
      <c r="B95" s="33"/>
      <c r="C95" s="33">
        <v>995</v>
      </c>
      <c r="D95" s="33">
        <v>3411</v>
      </c>
      <c r="E95" s="33"/>
      <c r="F95" s="33">
        <v>995</v>
      </c>
    </row>
    <row r="96" spans="1:6" x14ac:dyDescent="0.3">
      <c r="A96" s="33">
        <v>1415</v>
      </c>
      <c r="B96" s="33"/>
      <c r="C96" s="33">
        <v>2661</v>
      </c>
      <c r="D96" s="33">
        <v>1415</v>
      </c>
      <c r="E96" s="33"/>
      <c r="F96" s="33">
        <v>2661</v>
      </c>
    </row>
    <row r="97" spans="1:6" x14ac:dyDescent="0.3">
      <c r="A97" s="33">
        <v>512</v>
      </c>
      <c r="B97" s="33"/>
      <c r="C97" s="33">
        <v>1664</v>
      </c>
      <c r="D97" s="33">
        <v>512</v>
      </c>
      <c r="E97" s="33"/>
      <c r="F97" s="33">
        <v>1664</v>
      </c>
    </row>
    <row r="98" spans="1:6" x14ac:dyDescent="0.3">
      <c r="A98" s="33">
        <v>1457</v>
      </c>
      <c r="B98" s="33"/>
      <c r="C98" s="33">
        <v>3172</v>
      </c>
      <c r="D98" s="33">
        <v>1457</v>
      </c>
      <c r="E98" s="33"/>
      <c r="F98" s="33">
        <v>3172</v>
      </c>
    </row>
    <row r="99" spans="1:6" x14ac:dyDescent="0.3">
      <c r="A99" s="33">
        <v>1025</v>
      </c>
      <c r="B99" s="33"/>
      <c r="C99" s="33">
        <v>1408</v>
      </c>
      <c r="D99" s="33">
        <v>1025</v>
      </c>
      <c r="E99" s="33"/>
      <c r="F99" s="33">
        <v>1408</v>
      </c>
    </row>
    <row r="100" spans="1:6" x14ac:dyDescent="0.3">
      <c r="A100" s="33">
        <v>1228</v>
      </c>
      <c r="B100" s="33"/>
      <c r="C100" s="33">
        <v>825</v>
      </c>
      <c r="D100" s="33">
        <v>1228</v>
      </c>
      <c r="E100" s="33"/>
      <c r="F100" s="33">
        <v>825</v>
      </c>
    </row>
    <row r="101" spans="1:6" x14ac:dyDescent="0.3">
      <c r="A101" s="33">
        <v>3294</v>
      </c>
      <c r="B101" s="33"/>
      <c r="C101" s="33">
        <v>833</v>
      </c>
      <c r="D101" s="33">
        <v>3294</v>
      </c>
      <c r="E101" s="33"/>
      <c r="F101" s="33">
        <v>833</v>
      </c>
    </row>
    <row r="102" spans="1:6" x14ac:dyDescent="0.3">
      <c r="A102" s="33">
        <v>3717</v>
      </c>
      <c r="B102" s="33"/>
      <c r="C102" s="33">
        <v>3342</v>
      </c>
      <c r="D102" s="33">
        <v>3717</v>
      </c>
      <c r="E102" s="33"/>
      <c r="F102" s="33">
        <v>3342</v>
      </c>
    </row>
    <row r="103" spans="1:6" x14ac:dyDescent="0.3">
      <c r="A103" s="33">
        <v>605</v>
      </c>
      <c r="B103" s="33"/>
      <c r="C103" s="33">
        <v>2065</v>
      </c>
      <c r="D103" s="33">
        <v>605</v>
      </c>
      <c r="E103" s="33"/>
      <c r="F103" s="33">
        <v>2065</v>
      </c>
    </row>
    <row r="104" spans="1:6" x14ac:dyDescent="0.3">
      <c r="A104" s="33">
        <v>2121</v>
      </c>
      <c r="B104" s="33"/>
      <c r="C104" s="33">
        <v>3466</v>
      </c>
      <c r="D104" s="33">
        <v>2121</v>
      </c>
      <c r="E104" s="33"/>
      <c r="F104" s="33">
        <v>3466</v>
      </c>
    </row>
    <row r="105" spans="1:6" x14ac:dyDescent="0.3">
      <c r="A105" s="33">
        <v>1504</v>
      </c>
      <c r="B105" s="33"/>
      <c r="C105" s="33">
        <v>969</v>
      </c>
      <c r="D105" s="33">
        <v>1504</v>
      </c>
      <c r="E105" s="33"/>
      <c r="F105" s="33">
        <v>969</v>
      </c>
    </row>
    <row r="106" spans="1:6" x14ac:dyDescent="0.3">
      <c r="A106" s="33">
        <v>3440</v>
      </c>
      <c r="B106" s="33"/>
      <c r="C106" s="33">
        <v>2290</v>
      </c>
      <c r="D106" s="33">
        <v>3440</v>
      </c>
      <c r="E106" s="33"/>
      <c r="F106" s="33">
        <v>2290</v>
      </c>
    </row>
    <row r="107" spans="1:6" x14ac:dyDescent="0.3">
      <c r="A107" s="33">
        <v>2479</v>
      </c>
      <c r="B107" s="33"/>
      <c r="C107" s="33">
        <v>3481</v>
      </c>
      <c r="D107" s="33">
        <v>2479</v>
      </c>
      <c r="E107" s="33"/>
      <c r="F107" s="33">
        <v>3481</v>
      </c>
    </row>
    <row r="108" spans="1:6" x14ac:dyDescent="0.3">
      <c r="A108" s="33">
        <v>1468</v>
      </c>
      <c r="B108" s="33"/>
      <c r="C108" s="33">
        <v>2458</v>
      </c>
      <c r="D108" s="33">
        <v>1468</v>
      </c>
      <c r="E108" s="33"/>
      <c r="F108" s="33">
        <v>2458</v>
      </c>
    </row>
    <row r="109" spans="1:6" x14ac:dyDescent="0.3">
      <c r="A109" s="33">
        <v>1845</v>
      </c>
      <c r="B109" s="33"/>
      <c r="C109" s="33">
        <v>2378</v>
      </c>
      <c r="D109" s="33">
        <v>1845</v>
      </c>
      <c r="E109" s="33"/>
      <c r="F109" s="33">
        <v>2378</v>
      </c>
    </row>
    <row r="110" spans="1:6" x14ac:dyDescent="0.3">
      <c r="A110" s="33">
        <v>713</v>
      </c>
      <c r="B110" s="33"/>
      <c r="C110" s="33">
        <v>1190</v>
      </c>
      <c r="D110" s="33">
        <v>713</v>
      </c>
      <c r="E110" s="33"/>
      <c r="F110" s="33">
        <v>1190</v>
      </c>
    </row>
    <row r="111" spans="1:6" x14ac:dyDescent="0.3">
      <c r="A111" s="33">
        <v>2390</v>
      </c>
      <c r="B111" s="33"/>
      <c r="C111" s="33">
        <v>1161</v>
      </c>
      <c r="D111" s="33">
        <v>2390</v>
      </c>
      <c r="E111" s="33"/>
      <c r="F111" s="33">
        <v>1161</v>
      </c>
    </row>
    <row r="112" spans="1:6" x14ac:dyDescent="0.3">
      <c r="A112" s="33">
        <v>1058</v>
      </c>
      <c r="B112" s="33"/>
      <c r="C112" s="33">
        <v>2874</v>
      </c>
      <c r="D112" s="33">
        <v>1058</v>
      </c>
      <c r="E112" s="33"/>
      <c r="F112" s="33">
        <v>2874</v>
      </c>
    </row>
    <row r="113" spans="1:6" x14ac:dyDescent="0.3">
      <c r="A113" s="33">
        <v>1731</v>
      </c>
      <c r="B113" s="33"/>
      <c r="C113" s="33">
        <v>1865</v>
      </c>
      <c r="D113" s="33">
        <v>1731</v>
      </c>
      <c r="E113" s="33"/>
      <c r="F113" s="33">
        <v>1865</v>
      </c>
    </row>
    <row r="114" spans="1:6" x14ac:dyDescent="0.3">
      <c r="A114" s="33">
        <v>1735</v>
      </c>
      <c r="B114" s="33"/>
      <c r="C114" s="33">
        <v>2098</v>
      </c>
      <c r="D114" s="33">
        <v>1735</v>
      </c>
      <c r="E114" s="33"/>
      <c r="F114" s="33">
        <v>2098</v>
      </c>
    </row>
    <row r="115" spans="1:6" x14ac:dyDescent="0.3">
      <c r="A115" s="33">
        <v>880</v>
      </c>
      <c r="B115" s="33"/>
      <c r="C115" s="33">
        <v>2463</v>
      </c>
      <c r="D115" s="33">
        <v>880</v>
      </c>
      <c r="E115" s="33"/>
      <c r="F115" s="33">
        <v>2463</v>
      </c>
    </row>
    <row r="116" spans="1:6" x14ac:dyDescent="0.3">
      <c r="A116" s="33">
        <v>1208</v>
      </c>
      <c r="B116" s="33"/>
      <c r="C116" s="33">
        <v>2521</v>
      </c>
      <c r="D116" s="33">
        <v>1208</v>
      </c>
      <c r="E116" s="33"/>
      <c r="F116" s="33">
        <v>2521</v>
      </c>
    </row>
    <row r="117" spans="1:6" x14ac:dyDescent="0.3">
      <c r="A117" s="33">
        <v>1897</v>
      </c>
      <c r="B117" s="33"/>
      <c r="C117" s="33">
        <v>616</v>
      </c>
      <c r="D117" s="33">
        <v>1897</v>
      </c>
      <c r="E117" s="33"/>
      <c r="F117" s="33">
        <v>616</v>
      </c>
    </row>
    <row r="118" spans="1:6" x14ac:dyDescent="0.3">
      <c r="A118" s="33">
        <v>731</v>
      </c>
      <c r="B118" s="33"/>
      <c r="C118" s="33">
        <v>1832</v>
      </c>
      <c r="D118" s="33">
        <v>731</v>
      </c>
      <c r="E118" s="33"/>
      <c r="F118" s="33">
        <v>1832</v>
      </c>
    </row>
    <row r="119" spans="1:6" x14ac:dyDescent="0.3">
      <c r="A119" s="33">
        <v>930</v>
      </c>
      <c r="B119" s="33"/>
      <c r="C119" s="33">
        <v>1200</v>
      </c>
      <c r="D119" s="33">
        <v>930</v>
      </c>
      <c r="E119" s="33"/>
      <c r="F119" s="33">
        <v>1200</v>
      </c>
    </row>
    <row r="120" spans="1:6" x14ac:dyDescent="0.3">
      <c r="A120" s="33">
        <v>2408</v>
      </c>
      <c r="B120" s="33"/>
      <c r="C120" s="33">
        <v>840</v>
      </c>
      <c r="D120" s="33">
        <v>2408</v>
      </c>
      <c r="E120" s="33"/>
      <c r="F120" s="33">
        <v>840</v>
      </c>
    </row>
    <row r="121" spans="1:6" x14ac:dyDescent="0.3">
      <c r="A121" s="33">
        <v>506</v>
      </c>
      <c r="B121" s="33"/>
      <c r="C121" s="33">
        <v>2666</v>
      </c>
      <c r="D121" s="33">
        <v>506</v>
      </c>
      <c r="E121" s="33"/>
      <c r="F121" s="33">
        <v>2666</v>
      </c>
    </row>
    <row r="122" spans="1:6" x14ac:dyDescent="0.3">
      <c r="A122" s="33">
        <v>1621</v>
      </c>
      <c r="B122" s="33"/>
      <c r="C122" s="33">
        <v>2211</v>
      </c>
      <c r="D122" s="33">
        <v>1621</v>
      </c>
      <c r="E122" s="33"/>
      <c r="F122" s="33">
        <v>2211</v>
      </c>
    </row>
    <row r="123" spans="1:6" x14ac:dyDescent="0.3">
      <c r="A123" s="33"/>
      <c r="B123" s="33"/>
      <c r="C123" s="33">
        <v>2891</v>
      </c>
    </row>
    <row r="124" spans="1:6" x14ac:dyDescent="0.3">
      <c r="A124" s="33"/>
      <c r="B124" s="33"/>
      <c r="C124" s="33">
        <v>2920</v>
      </c>
    </row>
    <row r="125" spans="1:6" x14ac:dyDescent="0.3">
      <c r="A125" s="33"/>
      <c r="B125" s="33"/>
      <c r="C125" s="33">
        <v>3686</v>
      </c>
    </row>
    <row r="126" spans="1:6" x14ac:dyDescent="0.3">
      <c r="A126" s="33"/>
      <c r="B126" s="33"/>
      <c r="C126" s="33">
        <v>1400</v>
      </c>
    </row>
    <row r="127" spans="1:6" x14ac:dyDescent="0.3">
      <c r="A127" s="33"/>
      <c r="B127" s="33"/>
      <c r="C127" s="33">
        <v>3556</v>
      </c>
    </row>
    <row r="128" spans="1:6" x14ac:dyDescent="0.3">
      <c r="A128" s="33"/>
      <c r="B128" s="33"/>
      <c r="C128" s="33">
        <v>3680</v>
      </c>
    </row>
    <row r="129" spans="1:3" x14ac:dyDescent="0.3">
      <c r="A129" s="33"/>
      <c r="B129" s="33"/>
      <c r="C129" s="33">
        <v>3298</v>
      </c>
    </row>
    <row r="130" spans="1:3" x14ac:dyDescent="0.3">
      <c r="A130" s="33"/>
      <c r="B130" s="33"/>
      <c r="C130" s="33">
        <v>1464</v>
      </c>
    </row>
    <row r="131" spans="1:3" x14ac:dyDescent="0.3">
      <c r="A131" s="33"/>
      <c r="B131" s="33"/>
      <c r="C131" s="33">
        <v>896</v>
      </c>
    </row>
    <row r="132" spans="1:3" x14ac:dyDescent="0.3">
      <c r="A132" s="33"/>
      <c r="B132" s="33"/>
      <c r="C132" s="33">
        <v>3979</v>
      </c>
    </row>
    <row r="133" spans="1:3" x14ac:dyDescent="0.3">
      <c r="A133" s="33"/>
      <c r="B133" s="33"/>
      <c r="C133" s="33">
        <v>766</v>
      </c>
    </row>
    <row r="134" spans="1:3" x14ac:dyDescent="0.3">
      <c r="A134" s="33"/>
      <c r="B134" s="33"/>
      <c r="C134" s="33">
        <v>2772</v>
      </c>
    </row>
    <row r="135" spans="1:3" x14ac:dyDescent="0.3">
      <c r="A135" s="33"/>
      <c r="B135" s="33"/>
      <c r="C135" s="33">
        <v>2393</v>
      </c>
    </row>
    <row r="136" spans="1:3" x14ac:dyDescent="0.3">
      <c r="A136" s="33"/>
      <c r="B136" s="33"/>
      <c r="C136" s="33">
        <v>3643</v>
      </c>
    </row>
    <row r="137" spans="1:3" x14ac:dyDescent="0.3">
      <c r="A137" s="33"/>
      <c r="B137" s="33"/>
      <c r="C137" s="33">
        <v>2568</v>
      </c>
    </row>
    <row r="138" spans="1:3" x14ac:dyDescent="0.3">
      <c r="A138" s="33"/>
      <c r="B138" s="33"/>
      <c r="C138" s="33">
        <v>1941</v>
      </c>
    </row>
    <row r="139" spans="1:3" x14ac:dyDescent="0.3">
      <c r="A139" s="33"/>
      <c r="B139" s="33"/>
      <c r="C139" s="33">
        <v>2085</v>
      </c>
    </row>
    <row r="140" spans="1:3" x14ac:dyDescent="0.3">
      <c r="A140" s="33"/>
      <c r="B140" s="33"/>
      <c r="C140" s="33">
        <v>2210</v>
      </c>
    </row>
    <row r="141" spans="1:3" x14ac:dyDescent="0.3">
      <c r="A141" s="33"/>
      <c r="B141" s="33"/>
      <c r="C141" s="33">
        <v>1871</v>
      </c>
    </row>
    <row r="142" spans="1:3" x14ac:dyDescent="0.3">
      <c r="A142" s="33"/>
      <c r="B142" s="33"/>
      <c r="C142" s="33">
        <v>668</v>
      </c>
    </row>
    <row r="143" spans="1:3" x14ac:dyDescent="0.3">
      <c r="A143" s="33"/>
      <c r="B143" s="33"/>
      <c r="C143" s="33">
        <v>1662</v>
      </c>
    </row>
    <row r="144" spans="1:3" x14ac:dyDescent="0.3">
      <c r="A144" s="33"/>
      <c r="B144" s="33"/>
      <c r="C144" s="33">
        <v>2556</v>
      </c>
    </row>
    <row r="145" spans="1:3" x14ac:dyDescent="0.3">
      <c r="A145" s="33"/>
      <c r="B145" s="33"/>
      <c r="C145" s="33">
        <v>1876</v>
      </c>
    </row>
    <row r="146" spans="1:3" x14ac:dyDescent="0.3">
      <c r="A146" s="33"/>
      <c r="B146" s="33"/>
      <c r="C146" s="33">
        <v>746</v>
      </c>
    </row>
    <row r="147" spans="1:3" x14ac:dyDescent="0.3">
      <c r="A147" s="33"/>
      <c r="B147" s="33"/>
      <c r="C147" s="33">
        <v>2985</v>
      </c>
    </row>
    <row r="148" spans="1:3" x14ac:dyDescent="0.3">
      <c r="A148" s="33"/>
      <c r="B148" s="33"/>
      <c r="C148" s="33">
        <v>2351</v>
      </c>
    </row>
    <row r="149" spans="1:3" x14ac:dyDescent="0.3">
      <c r="A149" s="33"/>
      <c r="B149" s="33"/>
      <c r="C149" s="33">
        <v>999</v>
      </c>
    </row>
    <row r="150" spans="1:3" x14ac:dyDescent="0.3">
      <c r="A150" s="33"/>
      <c r="B150" s="33"/>
      <c r="C150" s="33">
        <v>2776</v>
      </c>
    </row>
    <row r="151" spans="1:3" x14ac:dyDescent="0.3">
      <c r="A151" s="33"/>
      <c r="B151" s="33"/>
      <c r="C151" s="33">
        <v>1675</v>
      </c>
    </row>
    <row r="152" spans="1:3" x14ac:dyDescent="0.3">
      <c r="A152" s="33"/>
      <c r="B152" s="33"/>
      <c r="C152" s="33">
        <v>2463</v>
      </c>
    </row>
    <row r="153" spans="1:3" x14ac:dyDescent="0.3">
      <c r="A153" s="33"/>
      <c r="B153" s="33"/>
      <c r="C153" s="33">
        <v>2566</v>
      </c>
    </row>
    <row r="154" spans="1:3" x14ac:dyDescent="0.3">
      <c r="A154" s="33"/>
      <c r="B154" s="33"/>
      <c r="C154" s="33">
        <v>2463</v>
      </c>
    </row>
    <row r="155" spans="1:3" x14ac:dyDescent="0.3">
      <c r="A155" s="33"/>
      <c r="B155" s="33"/>
      <c r="C155" s="33">
        <v>3061</v>
      </c>
    </row>
    <row r="156" spans="1:3" x14ac:dyDescent="0.3">
      <c r="A156" s="33"/>
      <c r="B156" s="33"/>
      <c r="C156" s="33">
        <v>1047</v>
      </c>
    </row>
    <row r="157" spans="1:3" x14ac:dyDescent="0.3">
      <c r="A157" s="33"/>
      <c r="B157" s="33"/>
      <c r="C157" s="33">
        <v>550</v>
      </c>
    </row>
    <row r="158" spans="1:3" x14ac:dyDescent="0.3">
      <c r="A158" s="33"/>
      <c r="B158" s="33"/>
      <c r="C158" s="33">
        <v>3654</v>
      </c>
    </row>
    <row r="159" spans="1:3" x14ac:dyDescent="0.3">
      <c r="A159" s="33"/>
      <c r="B159" s="33"/>
      <c r="C159" s="33">
        <v>1753</v>
      </c>
    </row>
    <row r="160" spans="1:3" x14ac:dyDescent="0.3">
      <c r="A160" s="33"/>
      <c r="B160" s="33"/>
      <c r="C160" s="33">
        <v>2794</v>
      </c>
    </row>
    <row r="161" spans="1:3" x14ac:dyDescent="0.3">
      <c r="A161" s="33"/>
      <c r="B161" s="33"/>
      <c r="C161" s="33">
        <v>2455</v>
      </c>
    </row>
    <row r="162" spans="1:3" x14ac:dyDescent="0.3">
      <c r="A162" s="33"/>
      <c r="B162" s="33"/>
      <c r="C162" s="33">
        <v>2827</v>
      </c>
    </row>
    <row r="163" spans="1:3" x14ac:dyDescent="0.3">
      <c r="A163" s="33"/>
      <c r="B163" s="33"/>
      <c r="C163" s="33">
        <v>3371</v>
      </c>
    </row>
    <row r="164" spans="1:3" x14ac:dyDescent="0.3">
      <c r="A164" s="33"/>
      <c r="B164" s="33"/>
      <c r="C164" s="33">
        <v>705</v>
      </c>
    </row>
    <row r="165" spans="1:3" x14ac:dyDescent="0.3">
      <c r="A165" s="33"/>
      <c r="B165" s="33"/>
      <c r="C165" s="33">
        <v>525</v>
      </c>
    </row>
    <row r="166" spans="1:3" x14ac:dyDescent="0.3">
      <c r="A166" s="33"/>
      <c r="B166" s="33"/>
      <c r="C166" s="33">
        <v>3012</v>
      </c>
    </row>
    <row r="167" spans="1:3" x14ac:dyDescent="0.3">
      <c r="A167" s="33"/>
      <c r="B167" s="33"/>
      <c r="C167" s="33">
        <v>1137</v>
      </c>
    </row>
    <row r="168" spans="1:3" x14ac:dyDescent="0.3">
      <c r="A168" s="33"/>
      <c r="B168" s="33"/>
      <c r="C168" s="33">
        <v>1711</v>
      </c>
    </row>
    <row r="169" spans="1:3" x14ac:dyDescent="0.3">
      <c r="A169" s="33"/>
      <c r="B169" s="33"/>
      <c r="C169" s="33">
        <v>3603</v>
      </c>
    </row>
    <row r="170" spans="1:3" x14ac:dyDescent="0.3">
      <c r="A170" s="33"/>
      <c r="B170" s="33"/>
      <c r="C170" s="33">
        <v>1946</v>
      </c>
    </row>
    <row r="171" spans="1:3" x14ac:dyDescent="0.3">
      <c r="A171" s="33"/>
      <c r="B171" s="33"/>
      <c r="C171" s="33">
        <v>664</v>
      </c>
    </row>
    <row r="172" spans="1:3" x14ac:dyDescent="0.3">
      <c r="A172" s="33"/>
      <c r="B172" s="33"/>
      <c r="C172" s="33">
        <v>2738</v>
      </c>
    </row>
    <row r="173" spans="1:3" x14ac:dyDescent="0.3">
      <c r="A173" s="33"/>
      <c r="B173" s="33"/>
      <c r="C173" s="33">
        <v>3046</v>
      </c>
    </row>
    <row r="174" spans="1:3" x14ac:dyDescent="0.3">
      <c r="A174" s="33"/>
      <c r="B174" s="33"/>
      <c r="C174" s="33">
        <v>2757</v>
      </c>
    </row>
    <row r="175" spans="1:3" x14ac:dyDescent="0.3">
      <c r="A175" s="33"/>
      <c r="B175" s="33"/>
      <c r="C175" s="33">
        <v>2691</v>
      </c>
    </row>
    <row r="176" spans="1:3" x14ac:dyDescent="0.3">
      <c r="A176" s="33"/>
      <c r="B176" s="33"/>
      <c r="C176" s="33">
        <v>3830</v>
      </c>
    </row>
    <row r="177" spans="1:3" x14ac:dyDescent="0.3">
      <c r="A177" s="33"/>
      <c r="B177" s="33"/>
      <c r="C177" s="33">
        <v>1727</v>
      </c>
    </row>
    <row r="178" spans="1:3" x14ac:dyDescent="0.3">
      <c r="A178" s="33"/>
      <c r="B178" s="33"/>
      <c r="C178" s="33">
        <v>2178</v>
      </c>
    </row>
    <row r="179" spans="1:3" x14ac:dyDescent="0.3">
      <c r="A179" s="33"/>
      <c r="B179" s="33"/>
      <c r="C179" s="33">
        <v>2303</v>
      </c>
    </row>
    <row r="180" spans="1:3" x14ac:dyDescent="0.3">
      <c r="A180" s="33"/>
      <c r="B180" s="33"/>
      <c r="C180" s="33">
        <v>3329</v>
      </c>
    </row>
    <row r="181" spans="1:3" x14ac:dyDescent="0.3">
      <c r="A181" s="33"/>
      <c r="B181" s="33"/>
      <c r="C181" s="33">
        <v>2911</v>
      </c>
    </row>
    <row r="182" spans="1:3" x14ac:dyDescent="0.3">
      <c r="A182" s="33"/>
      <c r="B182" s="33"/>
      <c r="C182" s="33">
        <v>3588</v>
      </c>
    </row>
    <row r="183" spans="1:3" x14ac:dyDescent="0.3">
      <c r="A183" s="33"/>
      <c r="B183" s="33"/>
      <c r="C183" s="33">
        <v>2476</v>
      </c>
    </row>
    <row r="184" spans="1:3" x14ac:dyDescent="0.3">
      <c r="A184" s="33"/>
      <c r="B184" s="33"/>
      <c r="C184" s="33">
        <v>2955</v>
      </c>
    </row>
    <row r="185" spans="1:3" x14ac:dyDescent="0.3">
      <c r="A185" s="33"/>
      <c r="B185" s="33"/>
      <c r="C185" s="33">
        <v>1776</v>
      </c>
    </row>
    <row r="186" spans="1:3" x14ac:dyDescent="0.3">
      <c r="A186" s="33"/>
      <c r="B186" s="33"/>
      <c r="C186" s="33">
        <v>2440</v>
      </c>
    </row>
    <row r="187" spans="1:3" x14ac:dyDescent="0.3">
      <c r="A187" s="33"/>
      <c r="B187" s="33"/>
      <c r="C187" s="33">
        <v>2849</v>
      </c>
    </row>
    <row r="188" spans="1:3" x14ac:dyDescent="0.3">
      <c r="A188" s="33"/>
      <c r="B188" s="33"/>
      <c r="C188" s="33">
        <v>3127</v>
      </c>
    </row>
    <row r="189" spans="1:3" x14ac:dyDescent="0.3">
      <c r="A189" s="33"/>
      <c r="B189" s="33"/>
      <c r="C189" s="33">
        <v>2125</v>
      </c>
    </row>
    <row r="190" spans="1:3" x14ac:dyDescent="0.3">
      <c r="A190" s="33"/>
      <c r="B190" s="33"/>
      <c r="C190" s="33">
        <v>2736</v>
      </c>
    </row>
    <row r="191" spans="1:3" x14ac:dyDescent="0.3">
      <c r="A191" s="33"/>
      <c r="B191" s="33"/>
      <c r="C191" s="33">
        <v>3469</v>
      </c>
    </row>
  </sheetData>
  <mergeCells count="10">
    <mergeCell ref="U1:W1"/>
    <mergeCell ref="A1:C1"/>
    <mergeCell ref="D1:F1"/>
    <mergeCell ref="D2:F2"/>
    <mergeCell ref="O1:O2"/>
    <mergeCell ref="T1:T2"/>
    <mergeCell ref="H1:H2"/>
    <mergeCell ref="A2:C2"/>
    <mergeCell ref="P1:R1"/>
    <mergeCell ref="I1:K1"/>
  </mergeCells>
  <conditionalFormatting sqref="D4:D122">
    <cfRule type="cellIs" dxfId="1" priority="2" operator="notBetween">
      <formula>-1477</formula>
      <formula>5752</formula>
    </cfRule>
  </conditionalFormatting>
  <conditionalFormatting sqref="E4:E61">
    <cfRule type="cellIs" dxfId="0" priority="1" operator="notBetween">
      <formula>-319</formula>
      <formula>4654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S354"/>
  <sheetViews>
    <sheetView workbookViewId="0">
      <selection activeCell="G3" sqref="G3"/>
    </sheetView>
  </sheetViews>
  <sheetFormatPr defaultRowHeight="14.4" x14ac:dyDescent="0.3"/>
  <cols>
    <col min="1" max="1" width="12.109375" customWidth="1"/>
    <col min="3" max="3" width="13.6640625" customWidth="1"/>
    <col min="6" max="6" width="12.109375" customWidth="1"/>
    <col min="7" max="7" width="12.44140625" customWidth="1"/>
    <col min="8" max="8" width="14" customWidth="1"/>
    <col min="12" max="12" width="3" customWidth="1"/>
    <col min="13" max="13" width="15.21875" customWidth="1"/>
    <col min="14" max="14" width="21.21875" customWidth="1"/>
    <col min="15" max="15" width="20.77734375" customWidth="1"/>
    <col min="16" max="16" width="4.88671875" customWidth="1"/>
    <col min="17" max="17" width="14" customWidth="1"/>
    <col min="18" max="18" width="20.109375" customWidth="1"/>
    <col min="19" max="19" width="20.21875" customWidth="1"/>
    <col min="29" max="29" width="3" customWidth="1"/>
  </cols>
  <sheetData>
    <row r="1" spans="1:19" ht="15.6" x14ac:dyDescent="0.3">
      <c r="A1" s="57" t="s">
        <v>52</v>
      </c>
      <c r="B1" s="57"/>
      <c r="C1" s="57" t="s">
        <v>53</v>
      </c>
      <c r="D1" s="57"/>
      <c r="F1" s="60" t="s">
        <v>55</v>
      </c>
      <c r="G1" s="53" t="s">
        <v>17</v>
      </c>
      <c r="H1" s="54"/>
      <c r="M1" s="58" t="s">
        <v>42</v>
      </c>
      <c r="N1" s="55" t="s">
        <v>40</v>
      </c>
      <c r="O1" s="56"/>
      <c r="Q1" s="58" t="s">
        <v>54</v>
      </c>
      <c r="R1" s="55" t="s">
        <v>40</v>
      </c>
      <c r="S1" s="56"/>
    </row>
    <row r="2" spans="1:19" ht="15.6" customHeight="1" x14ac:dyDescent="0.3">
      <c r="A2" s="53" t="s">
        <v>17</v>
      </c>
      <c r="B2" s="54"/>
      <c r="C2" s="53" t="s">
        <v>17</v>
      </c>
      <c r="D2" s="54"/>
      <c r="F2" s="60"/>
      <c r="G2" s="29" t="s">
        <v>39</v>
      </c>
      <c r="H2" s="29" t="s">
        <v>32</v>
      </c>
      <c r="M2" s="59"/>
      <c r="N2" s="9" t="s">
        <v>39</v>
      </c>
      <c r="O2" s="9" t="s">
        <v>32</v>
      </c>
      <c r="Q2" s="59"/>
      <c r="R2" s="9" t="s">
        <v>39</v>
      </c>
      <c r="S2" s="9" t="s">
        <v>32</v>
      </c>
    </row>
    <row r="3" spans="1:19" ht="15.6" x14ac:dyDescent="0.3">
      <c r="A3" s="28" t="s">
        <v>39</v>
      </c>
      <c r="B3" s="28" t="s">
        <v>32</v>
      </c>
      <c r="C3" s="28" t="s">
        <v>39</v>
      </c>
      <c r="D3" s="28" t="s">
        <v>32</v>
      </c>
      <c r="F3" s="30" t="s">
        <v>45</v>
      </c>
      <c r="G3" s="23"/>
      <c r="H3" s="18"/>
      <c r="M3" s="10" t="s">
        <v>29</v>
      </c>
      <c r="N3" s="14">
        <f>AVERAGE($A$4:$A$354)</f>
        <v>154.57264957264957</v>
      </c>
      <c r="O3" s="14">
        <f>AVERAGE($B$4:$B$354)</f>
        <v>206.35714285714286</v>
      </c>
      <c r="Q3" s="10" t="s">
        <v>29</v>
      </c>
      <c r="R3" s="14"/>
      <c r="S3" s="14"/>
    </row>
    <row r="4" spans="1:19" ht="15.6" x14ac:dyDescent="0.3">
      <c r="A4">
        <v>169</v>
      </c>
      <c r="B4">
        <v>230</v>
      </c>
      <c r="F4" s="30" t="s">
        <v>47</v>
      </c>
      <c r="G4" s="23"/>
      <c r="H4" s="18"/>
      <c r="M4" s="10" t="s">
        <v>30</v>
      </c>
      <c r="N4" s="14">
        <f>MEDIAN($A$4:$A$354)</f>
        <v>154</v>
      </c>
      <c r="O4" s="14">
        <f>MEDIAN($B$4:$B$354)</f>
        <v>225.5</v>
      </c>
      <c r="Q4" s="10" t="s">
        <v>30</v>
      </c>
      <c r="R4" s="14"/>
      <c r="S4" s="14"/>
    </row>
    <row r="5" spans="1:19" ht="15.6" x14ac:dyDescent="0.3">
      <c r="A5">
        <v>225</v>
      </c>
      <c r="B5">
        <v>214</v>
      </c>
      <c r="F5" s="31" t="s">
        <v>46</v>
      </c>
      <c r="G5" s="19"/>
      <c r="H5" s="19"/>
      <c r="I5" s="20"/>
      <c r="J5" s="20"/>
      <c r="K5" s="20"/>
      <c r="M5" s="10" t="s">
        <v>31</v>
      </c>
      <c r="N5" s="14">
        <f>MODE($A$4:$A$354)</f>
        <v>152</v>
      </c>
      <c r="O5" s="14">
        <f>MODE($B$4:$B$354)</f>
        <v>230</v>
      </c>
      <c r="Q5" s="10" t="s">
        <v>31</v>
      </c>
      <c r="R5" s="14"/>
      <c r="S5" s="14"/>
    </row>
    <row r="6" spans="1:19" x14ac:dyDescent="0.3">
      <c r="A6">
        <v>170</v>
      </c>
      <c r="B6">
        <v>279</v>
      </c>
      <c r="F6" s="31" t="s">
        <v>48</v>
      </c>
      <c r="G6" s="19"/>
      <c r="H6" s="19"/>
      <c r="I6" s="20"/>
      <c r="J6" s="20"/>
      <c r="K6" s="20"/>
    </row>
    <row r="7" spans="1:19" x14ac:dyDescent="0.3">
      <c r="A7">
        <v>134</v>
      </c>
      <c r="B7">
        <v>230</v>
      </c>
      <c r="F7" s="31" t="s">
        <v>49</v>
      </c>
      <c r="G7" s="19"/>
      <c r="H7" s="19"/>
      <c r="I7" s="20"/>
      <c r="J7" s="20"/>
      <c r="K7" s="20"/>
      <c r="Q7" s="35"/>
      <c r="R7" s="35"/>
      <c r="S7" s="35"/>
    </row>
    <row r="8" spans="1:19" x14ac:dyDescent="0.3">
      <c r="A8">
        <v>80</v>
      </c>
      <c r="B8">
        <v>108</v>
      </c>
      <c r="D8" s="26"/>
      <c r="Q8" s="35"/>
      <c r="R8" s="35"/>
      <c r="S8" s="35"/>
    </row>
    <row r="9" spans="1:19" x14ac:dyDescent="0.3">
      <c r="A9">
        <v>215</v>
      </c>
      <c r="B9">
        <v>221</v>
      </c>
      <c r="Q9" s="35"/>
      <c r="R9" s="35"/>
      <c r="S9" s="35"/>
    </row>
    <row r="10" spans="1:19" x14ac:dyDescent="0.3">
      <c r="A10">
        <v>131</v>
      </c>
      <c r="B10">
        <v>139</v>
      </c>
      <c r="Q10" s="35"/>
      <c r="R10" s="35"/>
      <c r="S10" s="35"/>
    </row>
    <row r="11" spans="1:19" x14ac:dyDescent="0.3">
      <c r="A11">
        <v>179</v>
      </c>
      <c r="B11">
        <v>207</v>
      </c>
      <c r="Q11" s="35"/>
      <c r="R11" s="35"/>
      <c r="S11" s="35"/>
    </row>
    <row r="12" spans="1:19" x14ac:dyDescent="0.3">
      <c r="A12">
        <v>239</v>
      </c>
      <c r="B12">
        <v>115</v>
      </c>
      <c r="D12" s="26"/>
      <c r="Q12" s="35"/>
      <c r="R12" s="35"/>
      <c r="S12" s="35"/>
    </row>
    <row r="13" spans="1:19" x14ac:dyDescent="0.3">
      <c r="A13">
        <v>122</v>
      </c>
      <c r="B13">
        <v>237</v>
      </c>
      <c r="Q13" s="35"/>
      <c r="R13" s="35"/>
      <c r="S13" s="35"/>
    </row>
    <row r="14" spans="1:19" x14ac:dyDescent="0.3">
      <c r="A14">
        <v>80</v>
      </c>
      <c r="B14">
        <v>263</v>
      </c>
      <c r="Q14" s="35"/>
      <c r="R14" s="35"/>
      <c r="S14" s="35"/>
    </row>
    <row r="15" spans="1:19" x14ac:dyDescent="0.3">
      <c r="A15">
        <v>237</v>
      </c>
      <c r="B15">
        <v>233</v>
      </c>
      <c r="Q15" s="35"/>
      <c r="R15" s="35"/>
      <c r="S15" s="35"/>
    </row>
    <row r="16" spans="1:19" x14ac:dyDescent="0.3">
      <c r="A16">
        <v>236</v>
      </c>
      <c r="B16">
        <v>183</v>
      </c>
      <c r="Q16" s="35"/>
      <c r="R16" s="35"/>
      <c r="S16" s="35"/>
    </row>
    <row r="17" spans="1:19" x14ac:dyDescent="0.3">
      <c r="A17">
        <v>175</v>
      </c>
      <c r="B17">
        <v>230</v>
      </c>
      <c r="Q17" s="35"/>
      <c r="R17" s="35"/>
      <c r="S17" s="35"/>
    </row>
    <row r="18" spans="1:19" x14ac:dyDescent="0.3">
      <c r="A18">
        <v>87</v>
      </c>
      <c r="Q18" s="35"/>
      <c r="R18" s="35"/>
      <c r="S18" s="35"/>
    </row>
    <row r="19" spans="1:19" x14ac:dyDescent="0.3">
      <c r="A19">
        <v>137</v>
      </c>
    </row>
    <row r="20" spans="1:19" x14ac:dyDescent="0.3">
      <c r="A20">
        <v>113</v>
      </c>
    </row>
    <row r="21" spans="1:19" x14ac:dyDescent="0.3">
      <c r="A21">
        <v>211</v>
      </c>
    </row>
    <row r="22" spans="1:19" x14ac:dyDescent="0.3">
      <c r="A22">
        <v>202</v>
      </c>
    </row>
    <row r="23" spans="1:19" x14ac:dyDescent="0.3">
      <c r="A23">
        <v>166</v>
      </c>
    </row>
    <row r="24" spans="1:19" x14ac:dyDescent="0.3">
      <c r="A24">
        <v>231</v>
      </c>
    </row>
    <row r="25" spans="1:19" x14ac:dyDescent="0.3">
      <c r="A25">
        <v>204</v>
      </c>
    </row>
    <row r="26" spans="1:19" x14ac:dyDescent="0.3">
      <c r="A26">
        <v>170</v>
      </c>
    </row>
    <row r="27" spans="1:19" x14ac:dyDescent="0.3">
      <c r="A27">
        <v>152</v>
      </c>
    </row>
    <row r="28" spans="1:19" x14ac:dyDescent="0.3">
      <c r="A28">
        <v>132</v>
      </c>
    </row>
    <row r="29" spans="1:19" x14ac:dyDescent="0.3">
      <c r="A29">
        <v>119</v>
      </c>
    </row>
    <row r="30" spans="1:19" x14ac:dyDescent="0.3">
      <c r="A30">
        <v>208</v>
      </c>
    </row>
    <row r="31" spans="1:19" x14ac:dyDescent="0.3">
      <c r="A31">
        <v>136</v>
      </c>
    </row>
    <row r="32" spans="1:19" x14ac:dyDescent="0.3">
      <c r="A32">
        <v>66</v>
      </c>
    </row>
    <row r="33" spans="1:1" x14ac:dyDescent="0.3">
      <c r="A33">
        <v>77</v>
      </c>
    </row>
    <row r="34" spans="1:1" x14ac:dyDescent="0.3">
      <c r="A34">
        <v>60</v>
      </c>
    </row>
    <row r="35" spans="1:1" x14ac:dyDescent="0.3">
      <c r="A35">
        <v>62</v>
      </c>
    </row>
    <row r="36" spans="1:1" x14ac:dyDescent="0.3">
      <c r="A36">
        <v>100</v>
      </c>
    </row>
    <row r="37" spans="1:1" x14ac:dyDescent="0.3">
      <c r="A37">
        <v>155</v>
      </c>
    </row>
    <row r="38" spans="1:1" x14ac:dyDescent="0.3">
      <c r="A38">
        <v>60</v>
      </c>
    </row>
    <row r="39" spans="1:1" x14ac:dyDescent="0.3">
      <c r="A39">
        <v>76</v>
      </c>
    </row>
    <row r="40" spans="1:1" x14ac:dyDescent="0.3">
      <c r="A40">
        <v>240</v>
      </c>
    </row>
    <row r="41" spans="1:1" x14ac:dyDescent="0.3">
      <c r="A41">
        <v>150</v>
      </c>
    </row>
    <row r="42" spans="1:1" x14ac:dyDescent="0.3">
      <c r="A42">
        <v>112</v>
      </c>
    </row>
    <row r="43" spans="1:1" x14ac:dyDescent="0.3">
      <c r="A43">
        <v>216</v>
      </c>
    </row>
    <row r="44" spans="1:1" x14ac:dyDescent="0.3">
      <c r="A44">
        <v>126</v>
      </c>
    </row>
    <row r="45" spans="1:1" x14ac:dyDescent="0.3">
      <c r="A45">
        <v>105</v>
      </c>
    </row>
    <row r="46" spans="1:1" x14ac:dyDescent="0.3">
      <c r="A46">
        <v>182</v>
      </c>
    </row>
    <row r="47" spans="1:1" x14ac:dyDescent="0.3">
      <c r="A47">
        <v>72</v>
      </c>
    </row>
    <row r="48" spans="1:1" x14ac:dyDescent="0.3">
      <c r="A48">
        <v>199</v>
      </c>
    </row>
    <row r="49" spans="1:1" x14ac:dyDescent="0.3">
      <c r="A49">
        <v>148</v>
      </c>
    </row>
    <row r="50" spans="1:1" x14ac:dyDescent="0.3">
      <c r="A50">
        <v>236</v>
      </c>
    </row>
    <row r="51" spans="1:1" x14ac:dyDescent="0.3">
      <c r="A51">
        <v>237</v>
      </c>
    </row>
    <row r="52" spans="1:1" x14ac:dyDescent="0.3">
      <c r="A52">
        <v>80</v>
      </c>
    </row>
    <row r="53" spans="1:1" x14ac:dyDescent="0.3">
      <c r="A53">
        <v>198</v>
      </c>
    </row>
    <row r="54" spans="1:1" x14ac:dyDescent="0.3">
      <c r="A54">
        <v>95</v>
      </c>
    </row>
    <row r="55" spans="1:1" x14ac:dyDescent="0.3">
      <c r="A55">
        <v>64</v>
      </c>
    </row>
    <row r="56" spans="1:1" x14ac:dyDescent="0.3">
      <c r="A56">
        <v>102</v>
      </c>
    </row>
    <row r="57" spans="1:1" x14ac:dyDescent="0.3">
      <c r="A57">
        <v>157</v>
      </c>
    </row>
    <row r="58" spans="1:1" x14ac:dyDescent="0.3">
      <c r="A58">
        <v>86</v>
      </c>
    </row>
    <row r="59" spans="1:1" x14ac:dyDescent="0.3">
      <c r="A59">
        <v>230</v>
      </c>
    </row>
    <row r="60" spans="1:1" x14ac:dyDescent="0.3">
      <c r="A60">
        <v>229</v>
      </c>
    </row>
    <row r="61" spans="1:1" x14ac:dyDescent="0.3">
      <c r="A61">
        <v>152</v>
      </c>
    </row>
    <row r="62" spans="1:1" x14ac:dyDescent="0.3">
      <c r="A62">
        <v>138</v>
      </c>
    </row>
    <row r="63" spans="1:1" x14ac:dyDescent="0.3">
      <c r="A63">
        <v>239</v>
      </c>
    </row>
    <row r="64" spans="1:1" x14ac:dyDescent="0.3">
      <c r="A64">
        <v>209</v>
      </c>
    </row>
    <row r="65" spans="1:1" x14ac:dyDescent="0.3">
      <c r="A65">
        <v>140</v>
      </c>
    </row>
    <row r="66" spans="1:1" x14ac:dyDescent="0.3">
      <c r="A66">
        <v>179</v>
      </c>
    </row>
    <row r="67" spans="1:1" x14ac:dyDescent="0.3">
      <c r="A67">
        <v>237</v>
      </c>
    </row>
    <row r="68" spans="1:1" x14ac:dyDescent="0.3">
      <c r="A68">
        <v>166</v>
      </c>
    </row>
    <row r="69" spans="1:1" x14ac:dyDescent="0.3">
      <c r="A69">
        <v>109</v>
      </c>
    </row>
    <row r="70" spans="1:1" x14ac:dyDescent="0.3">
      <c r="A70">
        <v>94</v>
      </c>
    </row>
    <row r="71" spans="1:1" x14ac:dyDescent="0.3">
      <c r="A71">
        <v>127</v>
      </c>
    </row>
    <row r="72" spans="1:1" x14ac:dyDescent="0.3">
      <c r="A72">
        <v>237</v>
      </c>
    </row>
    <row r="73" spans="1:1" x14ac:dyDescent="0.3">
      <c r="A73">
        <v>220</v>
      </c>
    </row>
    <row r="74" spans="1:1" x14ac:dyDescent="0.3">
      <c r="A74">
        <v>152</v>
      </c>
    </row>
    <row r="75" spans="1:1" x14ac:dyDescent="0.3">
      <c r="A75">
        <v>112</v>
      </c>
    </row>
    <row r="76" spans="1:1" x14ac:dyDescent="0.3">
      <c r="A76">
        <v>72</v>
      </c>
    </row>
    <row r="77" spans="1:1" x14ac:dyDescent="0.3">
      <c r="A77">
        <v>107</v>
      </c>
    </row>
    <row r="78" spans="1:1" x14ac:dyDescent="0.3">
      <c r="A78">
        <v>159</v>
      </c>
    </row>
    <row r="79" spans="1:1" x14ac:dyDescent="0.3">
      <c r="A79">
        <v>194</v>
      </c>
    </row>
    <row r="80" spans="1:1" x14ac:dyDescent="0.3">
      <c r="A80">
        <v>74</v>
      </c>
    </row>
    <row r="81" spans="1:1" x14ac:dyDescent="0.3">
      <c r="A81">
        <v>203</v>
      </c>
    </row>
    <row r="82" spans="1:1" x14ac:dyDescent="0.3">
      <c r="A82">
        <v>232</v>
      </c>
    </row>
    <row r="83" spans="1:1" x14ac:dyDescent="0.3">
      <c r="A83">
        <v>152</v>
      </c>
    </row>
    <row r="84" spans="1:1" x14ac:dyDescent="0.3">
      <c r="A84">
        <v>192</v>
      </c>
    </row>
    <row r="85" spans="1:1" x14ac:dyDescent="0.3">
      <c r="A85">
        <v>168</v>
      </c>
    </row>
    <row r="86" spans="1:1" x14ac:dyDescent="0.3">
      <c r="A86">
        <v>165</v>
      </c>
    </row>
    <row r="87" spans="1:1" x14ac:dyDescent="0.3">
      <c r="A87">
        <v>76</v>
      </c>
    </row>
    <row r="88" spans="1:1" x14ac:dyDescent="0.3">
      <c r="A88">
        <v>136</v>
      </c>
    </row>
    <row r="89" spans="1:1" x14ac:dyDescent="0.3">
      <c r="A89">
        <v>200</v>
      </c>
    </row>
    <row r="90" spans="1:1" x14ac:dyDescent="0.3">
      <c r="A90">
        <v>105</v>
      </c>
    </row>
    <row r="91" spans="1:1" x14ac:dyDescent="0.3">
      <c r="A91">
        <v>189</v>
      </c>
    </row>
    <row r="92" spans="1:1" x14ac:dyDescent="0.3">
      <c r="A92">
        <v>195</v>
      </c>
    </row>
    <row r="93" spans="1:1" x14ac:dyDescent="0.3">
      <c r="A93">
        <v>198</v>
      </c>
    </row>
    <row r="94" spans="1:1" x14ac:dyDescent="0.3">
      <c r="A94">
        <v>77</v>
      </c>
    </row>
    <row r="95" spans="1:1" x14ac:dyDescent="0.3">
      <c r="A95">
        <v>75</v>
      </c>
    </row>
    <row r="96" spans="1:1" x14ac:dyDescent="0.3">
      <c r="A96">
        <v>122</v>
      </c>
    </row>
    <row r="97" spans="1:1" x14ac:dyDescent="0.3">
      <c r="A97">
        <v>206</v>
      </c>
    </row>
    <row r="98" spans="1:1" x14ac:dyDescent="0.3">
      <c r="A98">
        <v>236</v>
      </c>
    </row>
    <row r="99" spans="1:1" x14ac:dyDescent="0.3">
      <c r="A99">
        <v>121</v>
      </c>
    </row>
    <row r="100" spans="1:1" x14ac:dyDescent="0.3">
      <c r="A100">
        <v>113</v>
      </c>
    </row>
    <row r="101" spans="1:1" x14ac:dyDescent="0.3">
      <c r="A101">
        <v>119</v>
      </c>
    </row>
    <row r="102" spans="1:1" x14ac:dyDescent="0.3">
      <c r="A102">
        <v>89</v>
      </c>
    </row>
    <row r="103" spans="1:1" x14ac:dyDescent="0.3">
      <c r="A103">
        <v>222</v>
      </c>
    </row>
    <row r="104" spans="1:1" x14ac:dyDescent="0.3">
      <c r="A104">
        <v>233</v>
      </c>
    </row>
    <row r="105" spans="1:1" x14ac:dyDescent="0.3">
      <c r="A105">
        <v>79</v>
      </c>
    </row>
    <row r="106" spans="1:1" x14ac:dyDescent="0.3">
      <c r="A106">
        <v>70</v>
      </c>
    </row>
    <row r="107" spans="1:1" x14ac:dyDescent="0.3">
      <c r="A107">
        <v>172</v>
      </c>
    </row>
    <row r="108" spans="1:1" x14ac:dyDescent="0.3">
      <c r="A108">
        <v>172</v>
      </c>
    </row>
    <row r="109" spans="1:1" x14ac:dyDescent="0.3">
      <c r="A109">
        <v>161</v>
      </c>
    </row>
    <row r="110" spans="1:1" x14ac:dyDescent="0.3">
      <c r="A110">
        <v>203</v>
      </c>
    </row>
    <row r="111" spans="1:1" x14ac:dyDescent="0.3">
      <c r="A111">
        <v>178</v>
      </c>
    </row>
    <row r="112" spans="1:1" x14ac:dyDescent="0.3">
      <c r="A112">
        <v>167</v>
      </c>
    </row>
    <row r="113" spans="1:1" x14ac:dyDescent="0.3">
      <c r="A113">
        <v>152</v>
      </c>
    </row>
    <row r="114" spans="1:1" x14ac:dyDescent="0.3">
      <c r="A114">
        <v>106</v>
      </c>
    </row>
    <row r="115" spans="1:1" x14ac:dyDescent="0.3">
      <c r="A115">
        <v>127</v>
      </c>
    </row>
    <row r="116" spans="1:1" x14ac:dyDescent="0.3">
      <c r="A116">
        <v>77</v>
      </c>
    </row>
    <row r="117" spans="1:1" x14ac:dyDescent="0.3">
      <c r="A117">
        <v>115</v>
      </c>
    </row>
    <row r="118" spans="1:1" x14ac:dyDescent="0.3">
      <c r="A118">
        <v>125</v>
      </c>
    </row>
    <row r="119" spans="1:1" x14ac:dyDescent="0.3">
      <c r="A119">
        <v>203</v>
      </c>
    </row>
    <row r="120" spans="1:1" x14ac:dyDescent="0.3">
      <c r="A120">
        <v>63</v>
      </c>
    </row>
    <row r="121" spans="1:1" x14ac:dyDescent="0.3">
      <c r="A121">
        <v>105</v>
      </c>
    </row>
    <row r="122" spans="1:1" x14ac:dyDescent="0.3">
      <c r="A122">
        <v>178</v>
      </c>
    </row>
    <row r="123" spans="1:1" x14ac:dyDescent="0.3">
      <c r="A123">
        <v>72</v>
      </c>
    </row>
    <row r="124" spans="1:1" x14ac:dyDescent="0.3">
      <c r="A124">
        <v>145</v>
      </c>
    </row>
    <row r="125" spans="1:1" x14ac:dyDescent="0.3">
      <c r="A125">
        <v>67</v>
      </c>
    </row>
    <row r="126" spans="1:1" x14ac:dyDescent="0.3">
      <c r="A126">
        <v>217</v>
      </c>
    </row>
    <row r="127" spans="1:1" x14ac:dyDescent="0.3">
      <c r="A127">
        <v>94</v>
      </c>
    </row>
    <row r="128" spans="1:1" x14ac:dyDescent="0.3">
      <c r="A128">
        <v>205</v>
      </c>
    </row>
    <row r="129" spans="1:1" x14ac:dyDescent="0.3">
      <c r="A129">
        <v>117</v>
      </c>
    </row>
    <row r="130" spans="1:1" x14ac:dyDescent="0.3">
      <c r="A130">
        <v>145</v>
      </c>
    </row>
    <row r="131" spans="1:1" x14ac:dyDescent="0.3">
      <c r="A131">
        <v>153</v>
      </c>
    </row>
    <row r="132" spans="1:1" x14ac:dyDescent="0.3">
      <c r="A132">
        <v>234</v>
      </c>
    </row>
    <row r="133" spans="1:1" x14ac:dyDescent="0.3">
      <c r="A133">
        <v>215</v>
      </c>
    </row>
    <row r="134" spans="1:1" x14ac:dyDescent="0.3">
      <c r="A134">
        <v>77</v>
      </c>
    </row>
    <row r="135" spans="1:1" x14ac:dyDescent="0.3">
      <c r="A135">
        <v>163</v>
      </c>
    </row>
    <row r="136" spans="1:1" x14ac:dyDescent="0.3">
      <c r="A136">
        <v>185</v>
      </c>
    </row>
    <row r="137" spans="1:1" x14ac:dyDescent="0.3">
      <c r="A137">
        <v>204</v>
      </c>
    </row>
    <row r="138" spans="1:1" x14ac:dyDescent="0.3">
      <c r="A138">
        <v>170</v>
      </c>
    </row>
    <row r="139" spans="1:1" x14ac:dyDescent="0.3">
      <c r="A139">
        <v>107</v>
      </c>
    </row>
    <row r="140" spans="1:1" x14ac:dyDescent="0.3">
      <c r="A140">
        <v>191</v>
      </c>
    </row>
    <row r="141" spans="1:1" x14ac:dyDescent="0.3">
      <c r="A141">
        <v>152</v>
      </c>
    </row>
    <row r="142" spans="1:1" x14ac:dyDescent="0.3">
      <c r="A142">
        <v>130</v>
      </c>
    </row>
    <row r="143" spans="1:1" x14ac:dyDescent="0.3">
      <c r="A143">
        <v>230</v>
      </c>
    </row>
    <row r="144" spans="1:1" x14ac:dyDescent="0.3">
      <c r="A144">
        <v>169</v>
      </c>
    </row>
    <row r="145" spans="1:1" x14ac:dyDescent="0.3">
      <c r="A145">
        <v>147</v>
      </c>
    </row>
    <row r="146" spans="1:1" x14ac:dyDescent="0.3">
      <c r="A146">
        <v>132</v>
      </c>
    </row>
    <row r="147" spans="1:1" x14ac:dyDescent="0.3">
      <c r="A147">
        <v>67</v>
      </c>
    </row>
    <row r="148" spans="1:1" x14ac:dyDescent="0.3">
      <c r="A148">
        <v>176</v>
      </c>
    </row>
    <row r="149" spans="1:1" x14ac:dyDescent="0.3">
      <c r="A149">
        <v>156</v>
      </c>
    </row>
    <row r="150" spans="1:1" x14ac:dyDescent="0.3">
      <c r="A150">
        <v>224</v>
      </c>
    </row>
    <row r="151" spans="1:1" x14ac:dyDescent="0.3">
      <c r="A151">
        <v>145</v>
      </c>
    </row>
    <row r="152" spans="1:1" x14ac:dyDescent="0.3">
      <c r="A152">
        <v>74</v>
      </c>
    </row>
    <row r="153" spans="1:1" x14ac:dyDescent="0.3">
      <c r="A153">
        <v>212</v>
      </c>
    </row>
    <row r="154" spans="1:1" x14ac:dyDescent="0.3">
      <c r="A154">
        <v>113</v>
      </c>
    </row>
    <row r="155" spans="1:1" x14ac:dyDescent="0.3">
      <c r="A155">
        <v>61</v>
      </c>
    </row>
    <row r="156" spans="1:1" x14ac:dyDescent="0.3">
      <c r="A156">
        <v>137</v>
      </c>
    </row>
    <row r="157" spans="1:1" x14ac:dyDescent="0.3">
      <c r="A157">
        <v>78</v>
      </c>
    </row>
    <row r="158" spans="1:1" x14ac:dyDescent="0.3">
      <c r="A158">
        <v>141</v>
      </c>
    </row>
    <row r="159" spans="1:1" x14ac:dyDescent="0.3">
      <c r="A159">
        <v>146</v>
      </c>
    </row>
    <row r="160" spans="1:1" x14ac:dyDescent="0.3">
      <c r="A160">
        <v>286</v>
      </c>
    </row>
    <row r="161" spans="1:1" x14ac:dyDescent="0.3">
      <c r="A161">
        <v>200</v>
      </c>
    </row>
    <row r="162" spans="1:1" x14ac:dyDescent="0.3">
      <c r="A162">
        <v>73</v>
      </c>
    </row>
    <row r="163" spans="1:1" x14ac:dyDescent="0.3">
      <c r="A163">
        <v>141</v>
      </c>
    </row>
    <row r="164" spans="1:1" x14ac:dyDescent="0.3">
      <c r="A164">
        <v>165</v>
      </c>
    </row>
    <row r="165" spans="1:1" x14ac:dyDescent="0.3">
      <c r="A165">
        <v>139</v>
      </c>
    </row>
    <row r="166" spans="1:1" x14ac:dyDescent="0.3">
      <c r="A166">
        <v>152</v>
      </c>
    </row>
    <row r="167" spans="1:1" x14ac:dyDescent="0.3">
      <c r="A167">
        <v>109</v>
      </c>
    </row>
    <row r="168" spans="1:1" x14ac:dyDescent="0.3">
      <c r="A168">
        <v>181</v>
      </c>
    </row>
    <row r="169" spans="1:1" x14ac:dyDescent="0.3">
      <c r="A169">
        <v>138</v>
      </c>
    </row>
    <row r="170" spans="1:1" x14ac:dyDescent="0.3">
      <c r="A170">
        <v>132</v>
      </c>
    </row>
    <row r="171" spans="1:1" x14ac:dyDescent="0.3">
      <c r="A171">
        <v>85</v>
      </c>
    </row>
    <row r="172" spans="1:1" x14ac:dyDescent="0.3">
      <c r="A172">
        <v>225</v>
      </c>
    </row>
    <row r="173" spans="1:1" x14ac:dyDescent="0.3">
      <c r="A173">
        <v>117</v>
      </c>
    </row>
    <row r="174" spans="1:1" x14ac:dyDescent="0.3">
      <c r="A174">
        <v>208</v>
      </c>
    </row>
    <row r="175" spans="1:1" x14ac:dyDescent="0.3">
      <c r="A175">
        <v>132</v>
      </c>
    </row>
    <row r="176" spans="1:1" x14ac:dyDescent="0.3">
      <c r="A176">
        <v>72</v>
      </c>
    </row>
    <row r="177" spans="1:1" x14ac:dyDescent="0.3">
      <c r="A177">
        <v>206</v>
      </c>
    </row>
    <row r="178" spans="1:1" x14ac:dyDescent="0.3">
      <c r="A178">
        <v>128</v>
      </c>
    </row>
    <row r="179" spans="1:1" x14ac:dyDescent="0.3">
      <c r="A179">
        <v>211</v>
      </c>
    </row>
    <row r="180" spans="1:1" x14ac:dyDescent="0.3">
      <c r="A180">
        <v>175</v>
      </c>
    </row>
    <row r="181" spans="1:1" x14ac:dyDescent="0.3">
      <c r="A181">
        <v>219</v>
      </c>
    </row>
    <row r="182" spans="1:1" x14ac:dyDescent="0.3">
      <c r="A182">
        <v>188</v>
      </c>
    </row>
    <row r="183" spans="1:1" x14ac:dyDescent="0.3">
      <c r="A183">
        <v>161</v>
      </c>
    </row>
    <row r="184" spans="1:1" x14ac:dyDescent="0.3">
      <c r="A184">
        <v>233</v>
      </c>
    </row>
    <row r="185" spans="1:1" x14ac:dyDescent="0.3">
      <c r="A185">
        <v>206</v>
      </c>
    </row>
    <row r="186" spans="1:1" x14ac:dyDescent="0.3">
      <c r="A186">
        <v>124</v>
      </c>
    </row>
    <row r="187" spans="1:1" x14ac:dyDescent="0.3">
      <c r="A187">
        <v>198</v>
      </c>
    </row>
    <row r="188" spans="1:1" x14ac:dyDescent="0.3">
      <c r="A188">
        <v>238</v>
      </c>
    </row>
    <row r="189" spans="1:1" x14ac:dyDescent="0.3">
      <c r="A189">
        <v>185</v>
      </c>
    </row>
    <row r="190" spans="1:1" x14ac:dyDescent="0.3">
      <c r="A190">
        <v>236</v>
      </c>
    </row>
    <row r="191" spans="1:1" x14ac:dyDescent="0.3">
      <c r="A191">
        <v>199</v>
      </c>
    </row>
    <row r="192" spans="1:1" x14ac:dyDescent="0.3">
      <c r="A192">
        <v>152</v>
      </c>
    </row>
    <row r="193" spans="1:1" x14ac:dyDescent="0.3">
      <c r="A193">
        <v>231</v>
      </c>
    </row>
    <row r="194" spans="1:1" x14ac:dyDescent="0.3">
      <c r="A194">
        <v>170</v>
      </c>
    </row>
    <row r="195" spans="1:1" x14ac:dyDescent="0.3">
      <c r="A195">
        <v>86</v>
      </c>
    </row>
    <row r="196" spans="1:1" x14ac:dyDescent="0.3">
      <c r="A196">
        <v>67</v>
      </c>
    </row>
    <row r="197" spans="1:1" x14ac:dyDescent="0.3">
      <c r="A197">
        <v>173</v>
      </c>
    </row>
    <row r="198" spans="1:1" x14ac:dyDescent="0.3">
      <c r="A198">
        <v>219</v>
      </c>
    </row>
    <row r="199" spans="1:1" x14ac:dyDescent="0.3">
      <c r="A199">
        <v>157</v>
      </c>
    </row>
    <row r="200" spans="1:1" x14ac:dyDescent="0.3">
      <c r="A200">
        <v>73</v>
      </c>
    </row>
    <row r="201" spans="1:1" x14ac:dyDescent="0.3">
      <c r="A201">
        <v>205</v>
      </c>
    </row>
    <row r="202" spans="1:1" x14ac:dyDescent="0.3">
      <c r="A202">
        <v>177</v>
      </c>
    </row>
    <row r="203" spans="1:1" x14ac:dyDescent="0.3">
      <c r="A203">
        <v>196</v>
      </c>
    </row>
    <row r="204" spans="1:1" x14ac:dyDescent="0.3">
      <c r="A204">
        <v>123</v>
      </c>
    </row>
    <row r="205" spans="1:1" x14ac:dyDescent="0.3">
      <c r="A205">
        <v>86</v>
      </c>
    </row>
    <row r="206" spans="1:1" x14ac:dyDescent="0.3">
      <c r="A206">
        <v>106</v>
      </c>
    </row>
    <row r="207" spans="1:1" x14ac:dyDescent="0.3">
      <c r="A207">
        <v>185</v>
      </c>
    </row>
    <row r="208" spans="1:1" x14ac:dyDescent="0.3">
      <c r="A208">
        <v>106</v>
      </c>
    </row>
    <row r="209" spans="1:1" x14ac:dyDescent="0.3">
      <c r="A209">
        <v>131</v>
      </c>
    </row>
    <row r="210" spans="1:1" x14ac:dyDescent="0.3">
      <c r="A210">
        <v>200</v>
      </c>
    </row>
    <row r="211" spans="1:1" x14ac:dyDescent="0.3">
      <c r="A211">
        <v>65</v>
      </c>
    </row>
    <row r="212" spans="1:1" x14ac:dyDescent="0.3">
      <c r="A212">
        <v>142</v>
      </c>
    </row>
    <row r="213" spans="1:1" x14ac:dyDescent="0.3">
      <c r="A213">
        <v>186</v>
      </c>
    </row>
    <row r="214" spans="1:1" x14ac:dyDescent="0.3">
      <c r="A214">
        <v>144</v>
      </c>
    </row>
    <row r="215" spans="1:1" x14ac:dyDescent="0.3">
      <c r="A215">
        <v>204</v>
      </c>
    </row>
    <row r="216" spans="1:1" x14ac:dyDescent="0.3">
      <c r="A216">
        <v>143</v>
      </c>
    </row>
    <row r="217" spans="1:1" x14ac:dyDescent="0.3">
      <c r="A217">
        <v>214</v>
      </c>
    </row>
    <row r="218" spans="1:1" x14ac:dyDescent="0.3">
      <c r="A218">
        <v>89</v>
      </c>
    </row>
    <row r="219" spans="1:1" x14ac:dyDescent="0.3">
      <c r="A219">
        <v>88</v>
      </c>
    </row>
    <row r="220" spans="1:1" x14ac:dyDescent="0.3">
      <c r="A220">
        <v>219</v>
      </c>
    </row>
    <row r="221" spans="1:1" x14ac:dyDescent="0.3">
      <c r="A221">
        <v>223</v>
      </c>
    </row>
    <row r="222" spans="1:1" x14ac:dyDescent="0.3">
      <c r="A222">
        <v>107</v>
      </c>
    </row>
    <row r="223" spans="1:1" x14ac:dyDescent="0.3">
      <c r="A223">
        <v>240</v>
      </c>
    </row>
    <row r="224" spans="1:1" x14ac:dyDescent="0.3">
      <c r="A224">
        <v>236</v>
      </c>
    </row>
    <row r="225" spans="1:1" x14ac:dyDescent="0.3">
      <c r="A225">
        <v>103</v>
      </c>
    </row>
    <row r="226" spans="1:1" x14ac:dyDescent="0.3">
      <c r="A226">
        <v>211</v>
      </c>
    </row>
    <row r="227" spans="1:1" x14ac:dyDescent="0.3">
      <c r="A227">
        <v>234</v>
      </c>
    </row>
    <row r="228" spans="1:1" x14ac:dyDescent="0.3">
      <c r="A228">
        <v>186</v>
      </c>
    </row>
    <row r="229" spans="1:1" x14ac:dyDescent="0.3">
      <c r="A229">
        <v>179</v>
      </c>
    </row>
    <row r="230" spans="1:1" x14ac:dyDescent="0.3">
      <c r="A230">
        <v>134</v>
      </c>
    </row>
    <row r="231" spans="1:1" x14ac:dyDescent="0.3">
      <c r="A231">
        <v>185</v>
      </c>
    </row>
    <row r="232" spans="1:1" x14ac:dyDescent="0.3">
      <c r="A232">
        <v>140</v>
      </c>
    </row>
    <row r="233" spans="1:1" x14ac:dyDescent="0.3">
      <c r="A233">
        <v>191</v>
      </c>
    </row>
    <row r="234" spans="1:1" x14ac:dyDescent="0.3">
      <c r="A234">
        <v>212</v>
      </c>
    </row>
    <row r="235" spans="1:1" x14ac:dyDescent="0.3">
      <c r="A235">
        <v>180</v>
      </c>
    </row>
    <row r="236" spans="1:1" x14ac:dyDescent="0.3">
      <c r="A236">
        <v>141</v>
      </c>
    </row>
    <row r="237" spans="1:1" x14ac:dyDescent="0.3">
      <c r="A237">
        <v>122</v>
      </c>
    </row>
    <row r="238" spans="1:1" x14ac:dyDescent="0.3">
      <c r="A238">
        <v>137</v>
      </c>
    </row>
    <row r="239" spans="1:1" x14ac:dyDescent="0.3">
      <c r="A239">
        <v>174</v>
      </c>
    </row>
    <row r="240" spans="1:1" x14ac:dyDescent="0.3">
      <c r="A240">
        <v>152</v>
      </c>
    </row>
    <row r="241" spans="1:1" x14ac:dyDescent="0.3">
      <c r="A241">
        <v>79</v>
      </c>
    </row>
    <row r="242" spans="1:1" x14ac:dyDescent="0.3">
      <c r="A242">
        <v>159</v>
      </c>
    </row>
    <row r="243" spans="1:1" x14ac:dyDescent="0.3">
      <c r="A243">
        <v>93</v>
      </c>
    </row>
    <row r="244" spans="1:1" x14ac:dyDescent="0.3">
      <c r="A244">
        <v>99</v>
      </c>
    </row>
    <row r="245" spans="1:1" x14ac:dyDescent="0.3">
      <c r="A245">
        <v>134</v>
      </c>
    </row>
    <row r="246" spans="1:1" x14ac:dyDescent="0.3">
      <c r="A246">
        <v>145</v>
      </c>
    </row>
    <row r="247" spans="1:1" x14ac:dyDescent="0.3">
      <c r="A247">
        <v>175</v>
      </c>
    </row>
    <row r="248" spans="1:1" x14ac:dyDescent="0.3">
      <c r="A248">
        <v>116</v>
      </c>
    </row>
    <row r="249" spans="1:1" x14ac:dyDescent="0.3">
      <c r="A249">
        <v>93</v>
      </c>
    </row>
    <row r="250" spans="1:1" x14ac:dyDescent="0.3">
      <c r="A250">
        <v>207</v>
      </c>
    </row>
    <row r="251" spans="1:1" x14ac:dyDescent="0.3">
      <c r="A251">
        <v>238</v>
      </c>
    </row>
    <row r="252" spans="1:1" x14ac:dyDescent="0.3">
      <c r="A252">
        <v>140</v>
      </c>
    </row>
    <row r="253" spans="1:1" x14ac:dyDescent="0.3">
      <c r="A253">
        <v>106</v>
      </c>
    </row>
    <row r="254" spans="1:1" x14ac:dyDescent="0.3">
      <c r="A254">
        <v>82</v>
      </c>
    </row>
    <row r="255" spans="1:1" x14ac:dyDescent="0.3">
      <c r="A255">
        <v>158</v>
      </c>
    </row>
    <row r="256" spans="1:1" x14ac:dyDescent="0.3">
      <c r="A256">
        <v>220</v>
      </c>
    </row>
    <row r="257" spans="1:1" x14ac:dyDescent="0.3">
      <c r="A257">
        <v>138</v>
      </c>
    </row>
    <row r="258" spans="1:1" x14ac:dyDescent="0.3">
      <c r="A258">
        <v>156</v>
      </c>
    </row>
    <row r="259" spans="1:1" x14ac:dyDescent="0.3">
      <c r="A259">
        <v>94</v>
      </c>
    </row>
    <row r="260" spans="1:1" x14ac:dyDescent="0.3">
      <c r="A260">
        <v>200</v>
      </c>
    </row>
    <row r="261" spans="1:1" x14ac:dyDescent="0.3">
      <c r="A261">
        <v>222</v>
      </c>
    </row>
    <row r="262" spans="1:1" x14ac:dyDescent="0.3">
      <c r="A262">
        <v>64</v>
      </c>
    </row>
    <row r="263" spans="1:1" x14ac:dyDescent="0.3">
      <c r="A263">
        <v>172</v>
      </c>
    </row>
    <row r="264" spans="1:1" x14ac:dyDescent="0.3">
      <c r="A264">
        <v>159</v>
      </c>
    </row>
    <row r="265" spans="1:1" x14ac:dyDescent="0.3">
      <c r="A265">
        <v>132</v>
      </c>
    </row>
    <row r="266" spans="1:1" x14ac:dyDescent="0.3">
      <c r="A266">
        <v>154</v>
      </c>
    </row>
    <row r="267" spans="1:1" x14ac:dyDescent="0.3">
      <c r="A267">
        <v>130</v>
      </c>
    </row>
    <row r="268" spans="1:1" x14ac:dyDescent="0.3">
      <c r="A268">
        <v>281</v>
      </c>
    </row>
    <row r="269" spans="1:1" x14ac:dyDescent="0.3">
      <c r="A269">
        <v>61</v>
      </c>
    </row>
    <row r="270" spans="1:1" x14ac:dyDescent="0.3">
      <c r="A270">
        <v>100</v>
      </c>
    </row>
    <row r="271" spans="1:1" x14ac:dyDescent="0.3">
      <c r="A271">
        <v>201</v>
      </c>
    </row>
    <row r="272" spans="1:1" x14ac:dyDescent="0.3">
      <c r="A272">
        <v>163</v>
      </c>
    </row>
    <row r="273" spans="1:1" x14ac:dyDescent="0.3">
      <c r="A273">
        <v>67</v>
      </c>
    </row>
    <row r="274" spans="1:1" x14ac:dyDescent="0.3">
      <c r="A274">
        <v>214</v>
      </c>
    </row>
    <row r="275" spans="1:1" x14ac:dyDescent="0.3">
      <c r="A275">
        <v>154</v>
      </c>
    </row>
    <row r="276" spans="1:1" x14ac:dyDescent="0.3">
      <c r="A276">
        <v>90</v>
      </c>
    </row>
    <row r="277" spans="1:1" x14ac:dyDescent="0.3">
      <c r="A277">
        <v>210</v>
      </c>
    </row>
    <row r="278" spans="1:1" x14ac:dyDescent="0.3">
      <c r="A278">
        <v>118</v>
      </c>
    </row>
    <row r="279" spans="1:1" x14ac:dyDescent="0.3">
      <c r="A279">
        <v>229</v>
      </c>
    </row>
    <row r="280" spans="1:1" x14ac:dyDescent="0.3">
      <c r="A280">
        <v>214</v>
      </c>
    </row>
    <row r="281" spans="1:1" x14ac:dyDescent="0.3">
      <c r="A281">
        <v>129</v>
      </c>
    </row>
    <row r="282" spans="1:1" x14ac:dyDescent="0.3">
      <c r="A282">
        <v>114</v>
      </c>
    </row>
    <row r="283" spans="1:1" x14ac:dyDescent="0.3">
      <c r="A283">
        <v>160</v>
      </c>
    </row>
    <row r="284" spans="1:1" x14ac:dyDescent="0.3">
      <c r="A284">
        <v>176</v>
      </c>
    </row>
    <row r="285" spans="1:1" x14ac:dyDescent="0.3">
      <c r="A285">
        <v>158</v>
      </c>
    </row>
    <row r="286" spans="1:1" x14ac:dyDescent="0.3">
      <c r="A286">
        <v>190</v>
      </c>
    </row>
    <row r="287" spans="1:1" x14ac:dyDescent="0.3">
      <c r="A287">
        <v>150</v>
      </c>
    </row>
    <row r="288" spans="1:1" x14ac:dyDescent="0.3">
      <c r="A288">
        <v>105</v>
      </c>
    </row>
    <row r="289" spans="1:1" x14ac:dyDescent="0.3">
      <c r="A289">
        <v>143</v>
      </c>
    </row>
    <row r="290" spans="1:1" x14ac:dyDescent="0.3">
      <c r="A290">
        <v>185</v>
      </c>
    </row>
    <row r="291" spans="1:1" x14ac:dyDescent="0.3">
      <c r="A291">
        <v>110</v>
      </c>
    </row>
    <row r="292" spans="1:1" x14ac:dyDescent="0.3">
      <c r="A292">
        <v>117</v>
      </c>
    </row>
    <row r="293" spans="1:1" x14ac:dyDescent="0.3">
      <c r="A293">
        <v>176</v>
      </c>
    </row>
    <row r="294" spans="1:1" x14ac:dyDescent="0.3">
      <c r="A294">
        <v>147</v>
      </c>
    </row>
    <row r="295" spans="1:1" x14ac:dyDescent="0.3">
      <c r="A295">
        <v>139</v>
      </c>
    </row>
    <row r="296" spans="1:1" x14ac:dyDescent="0.3">
      <c r="A296">
        <v>260</v>
      </c>
    </row>
    <row r="297" spans="1:1" x14ac:dyDescent="0.3">
      <c r="A297">
        <v>234</v>
      </c>
    </row>
    <row r="298" spans="1:1" x14ac:dyDescent="0.3">
      <c r="A298">
        <v>231</v>
      </c>
    </row>
    <row r="299" spans="1:1" x14ac:dyDescent="0.3">
      <c r="A299">
        <v>154</v>
      </c>
    </row>
    <row r="300" spans="1:1" x14ac:dyDescent="0.3">
      <c r="A300">
        <v>217</v>
      </c>
    </row>
    <row r="301" spans="1:1" x14ac:dyDescent="0.3">
      <c r="A301">
        <v>179</v>
      </c>
    </row>
    <row r="302" spans="1:1" x14ac:dyDescent="0.3">
      <c r="A302">
        <v>177</v>
      </c>
    </row>
    <row r="303" spans="1:1" x14ac:dyDescent="0.3">
      <c r="A303">
        <v>82</v>
      </c>
    </row>
    <row r="304" spans="1:1" x14ac:dyDescent="0.3">
      <c r="A304">
        <v>232</v>
      </c>
    </row>
    <row r="305" spans="1:1" x14ac:dyDescent="0.3">
      <c r="A305">
        <v>214</v>
      </c>
    </row>
    <row r="306" spans="1:1" x14ac:dyDescent="0.3">
      <c r="A306">
        <v>172</v>
      </c>
    </row>
    <row r="307" spans="1:1" x14ac:dyDescent="0.3">
      <c r="A307">
        <v>60</v>
      </c>
    </row>
    <row r="308" spans="1:1" x14ac:dyDescent="0.3">
      <c r="A308">
        <v>230</v>
      </c>
    </row>
    <row r="309" spans="1:1" x14ac:dyDescent="0.3">
      <c r="A309">
        <v>114</v>
      </c>
    </row>
    <row r="310" spans="1:1" x14ac:dyDescent="0.3">
      <c r="A310">
        <v>207</v>
      </c>
    </row>
    <row r="311" spans="1:1" x14ac:dyDescent="0.3">
      <c r="A311">
        <v>178</v>
      </c>
    </row>
    <row r="312" spans="1:1" x14ac:dyDescent="0.3">
      <c r="A312">
        <v>204</v>
      </c>
    </row>
    <row r="313" spans="1:1" x14ac:dyDescent="0.3">
      <c r="A313">
        <v>211</v>
      </c>
    </row>
    <row r="314" spans="1:1" x14ac:dyDescent="0.3">
      <c r="A314">
        <v>96</v>
      </c>
    </row>
    <row r="315" spans="1:1" x14ac:dyDescent="0.3">
      <c r="A315">
        <v>216</v>
      </c>
    </row>
    <row r="316" spans="1:1" x14ac:dyDescent="0.3">
      <c r="A316">
        <v>75</v>
      </c>
    </row>
    <row r="317" spans="1:1" x14ac:dyDescent="0.3">
      <c r="A317">
        <v>106</v>
      </c>
    </row>
    <row r="318" spans="1:1" x14ac:dyDescent="0.3">
      <c r="A318">
        <v>115</v>
      </c>
    </row>
    <row r="319" spans="1:1" x14ac:dyDescent="0.3">
      <c r="A319">
        <v>104</v>
      </c>
    </row>
    <row r="320" spans="1:1" x14ac:dyDescent="0.3">
      <c r="A320">
        <v>186</v>
      </c>
    </row>
    <row r="321" spans="1:1" x14ac:dyDescent="0.3">
      <c r="A321">
        <v>157</v>
      </c>
    </row>
    <row r="322" spans="1:1" x14ac:dyDescent="0.3">
      <c r="A322">
        <v>231</v>
      </c>
    </row>
    <row r="323" spans="1:1" x14ac:dyDescent="0.3">
      <c r="A323">
        <v>65</v>
      </c>
    </row>
    <row r="324" spans="1:1" x14ac:dyDescent="0.3">
      <c r="A324">
        <v>295</v>
      </c>
    </row>
    <row r="325" spans="1:1" x14ac:dyDescent="0.3">
      <c r="A325">
        <v>108</v>
      </c>
    </row>
    <row r="326" spans="1:1" x14ac:dyDescent="0.3">
      <c r="A326">
        <v>224</v>
      </c>
    </row>
    <row r="327" spans="1:1" x14ac:dyDescent="0.3">
      <c r="A327">
        <v>149</v>
      </c>
    </row>
    <row r="328" spans="1:1" x14ac:dyDescent="0.3">
      <c r="A328">
        <v>179</v>
      </c>
    </row>
    <row r="329" spans="1:1" x14ac:dyDescent="0.3">
      <c r="A329">
        <v>63</v>
      </c>
    </row>
    <row r="330" spans="1:1" x14ac:dyDescent="0.3">
      <c r="A330">
        <v>80</v>
      </c>
    </row>
    <row r="331" spans="1:1" x14ac:dyDescent="0.3">
      <c r="A331">
        <v>140</v>
      </c>
    </row>
    <row r="332" spans="1:1" x14ac:dyDescent="0.3">
      <c r="A332">
        <v>154</v>
      </c>
    </row>
    <row r="333" spans="1:1" x14ac:dyDescent="0.3">
      <c r="A333">
        <v>152</v>
      </c>
    </row>
    <row r="334" spans="1:1" x14ac:dyDescent="0.3">
      <c r="A334">
        <v>156</v>
      </c>
    </row>
    <row r="335" spans="1:1" x14ac:dyDescent="0.3">
      <c r="A335">
        <v>197</v>
      </c>
    </row>
    <row r="336" spans="1:1" x14ac:dyDescent="0.3">
      <c r="A336">
        <v>196</v>
      </c>
    </row>
    <row r="337" spans="1:1" x14ac:dyDescent="0.3">
      <c r="A337">
        <v>153</v>
      </c>
    </row>
    <row r="338" spans="1:1" x14ac:dyDescent="0.3">
      <c r="A338">
        <v>213</v>
      </c>
    </row>
    <row r="339" spans="1:1" x14ac:dyDescent="0.3">
      <c r="A339">
        <v>102</v>
      </c>
    </row>
    <row r="340" spans="1:1" x14ac:dyDescent="0.3">
      <c r="A340">
        <v>101</v>
      </c>
    </row>
    <row r="341" spans="1:1" x14ac:dyDescent="0.3">
      <c r="A341">
        <v>155</v>
      </c>
    </row>
    <row r="342" spans="1:1" x14ac:dyDescent="0.3">
      <c r="A342">
        <v>192</v>
      </c>
    </row>
    <row r="343" spans="1:1" x14ac:dyDescent="0.3">
      <c r="A343">
        <v>152</v>
      </c>
    </row>
    <row r="344" spans="1:1" x14ac:dyDescent="0.3">
      <c r="A344">
        <v>125</v>
      </c>
    </row>
    <row r="345" spans="1:1" x14ac:dyDescent="0.3">
      <c r="A345">
        <v>172</v>
      </c>
    </row>
    <row r="346" spans="1:1" x14ac:dyDescent="0.3">
      <c r="A346">
        <v>86</v>
      </c>
    </row>
    <row r="347" spans="1:1" x14ac:dyDescent="0.3">
      <c r="A347">
        <v>64</v>
      </c>
    </row>
    <row r="348" spans="1:1" x14ac:dyDescent="0.3">
      <c r="A348">
        <v>175</v>
      </c>
    </row>
    <row r="349" spans="1:1" x14ac:dyDescent="0.3">
      <c r="A349">
        <v>232</v>
      </c>
    </row>
    <row r="350" spans="1:1" x14ac:dyDescent="0.3">
      <c r="A350">
        <v>62</v>
      </c>
    </row>
    <row r="351" spans="1:1" x14ac:dyDescent="0.3">
      <c r="A351">
        <v>133</v>
      </c>
    </row>
    <row r="352" spans="1:1" x14ac:dyDescent="0.3">
      <c r="A352">
        <v>123</v>
      </c>
    </row>
    <row r="353" spans="1:1" x14ac:dyDescent="0.3">
      <c r="A353">
        <v>165</v>
      </c>
    </row>
    <row r="354" spans="1:1" x14ac:dyDescent="0.3">
      <c r="A354">
        <v>173</v>
      </c>
    </row>
  </sheetData>
  <mergeCells count="10">
    <mergeCell ref="A2:B2"/>
    <mergeCell ref="C2:D2"/>
    <mergeCell ref="G1:H1"/>
    <mergeCell ref="N1:O1"/>
    <mergeCell ref="R1:S1"/>
    <mergeCell ref="A1:B1"/>
    <mergeCell ref="C1:D1"/>
    <mergeCell ref="M1:M2"/>
    <mergeCell ref="Q1:Q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 Data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Jiju</cp:lastModifiedBy>
  <dcterms:created xsi:type="dcterms:W3CDTF">2024-12-06T07:14:02Z</dcterms:created>
  <dcterms:modified xsi:type="dcterms:W3CDTF">2025-08-30T16:42:58Z</dcterms:modified>
</cp:coreProperties>
</file>