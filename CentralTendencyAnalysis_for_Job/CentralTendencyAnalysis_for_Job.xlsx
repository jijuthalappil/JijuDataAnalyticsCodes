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IJUPC\Downloads\"/>
    </mc:Choice>
  </mc:AlternateContent>
  <xr:revisionPtr revIDLastSave="0" documentId="13_ncr:1_{C55B93D1-521E-4F5E-A5CF-057190713E2D}" xr6:coauthVersionLast="47" xr6:coauthVersionMax="47" xr10:uidLastSave="{00000000-0000-0000-0000-000000000000}"/>
  <bookViews>
    <workbookView xWindow="-108" yWindow="-108" windowWidth="23256" windowHeight="11964" activeTab="1" xr2:uid="{92C583C3-ECC1-41F2-AC8F-A86A5EBE720D}"/>
  </bookViews>
  <sheets>
    <sheet name="Salary Data" sheetId="2" r:id="rId1"/>
    <sheet name="To calc Median and Mode" sheetId="8" r:id="rId2"/>
    <sheet name="Comparison Sheet" sheetId="1" r:id="rId3"/>
  </sheets>
  <definedNames>
    <definedName name="_xlnm._FilterDatabase" localSheetId="0" hidden="1">'Salary Data'!#REF!</definedName>
    <definedName name="_xlchart.v1.0" hidden="1">'To calc Median and Mode'!$I$3:$I$53</definedName>
    <definedName name="_xlchart.v1.1" hidden="1">'To calc Median and Mode'!$C$3:$C$55</definedName>
    <definedName name="_xlchart.v1.2" hidden="1">'To calc Median and Mode'!$O$3:$O$48</definedName>
    <definedName name="CompanyDomain">#REF!</definedName>
    <definedName name="ExternalData_1" localSheetId="0" hidden="1">'Salary Data'!#REF!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  <c r="C4" i="1"/>
  <c r="C3" i="1"/>
  <c r="C2" i="1"/>
  <c r="B4" i="1"/>
  <c r="B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5AEF8D-D140-4388-BD45-3873CB88DA90}" keepAlive="1" name="Query - freshers_salaries_updated_data" description="Connection to the 'freshers_salaries_updated_data' query in the workbook." type="5" refreshedVersion="0" background="1">
    <dbPr connection="Provider=Microsoft.Mashup.OleDb.1;Data Source=$Workbook$;Location=freshers_salaries_updated_data;Extended Properties=&quot;&quot;" command="SELECT * FROM [freshers_salaries_updated_data]"/>
  </connection>
</connections>
</file>

<file path=xl/sharedStrings.xml><?xml version="1.0" encoding="utf-8"?>
<sst xmlns="http://schemas.openxmlformats.org/spreadsheetml/2006/main" count="931" uniqueCount="171">
  <si>
    <t>StudentID</t>
  </si>
  <si>
    <t>Track</t>
  </si>
  <si>
    <t>Salary Offered in INR</t>
  </si>
  <si>
    <t>Placed Company Domain</t>
  </si>
  <si>
    <t>S001</t>
  </si>
  <si>
    <t>Software Engineering</t>
  </si>
  <si>
    <t>IT</t>
  </si>
  <si>
    <t>S002</t>
  </si>
  <si>
    <t>Cybersecurity</t>
  </si>
  <si>
    <t>Manufacturing</t>
  </si>
  <si>
    <t>S003</t>
  </si>
  <si>
    <t>Data Science</t>
  </si>
  <si>
    <t>Finance</t>
  </si>
  <si>
    <t>S004</t>
  </si>
  <si>
    <t>Supply Chain</t>
  </si>
  <si>
    <t>S005</t>
  </si>
  <si>
    <t>S006</t>
  </si>
  <si>
    <t>S007</t>
  </si>
  <si>
    <t>S008</t>
  </si>
  <si>
    <t>S009</t>
  </si>
  <si>
    <t>S010</t>
  </si>
  <si>
    <t>S011</t>
  </si>
  <si>
    <t>Pharma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</si>
  <si>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</si>
  <si>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</si>
  <si>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</si>
  <si>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</si>
  <si>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</si>
  <si>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</si>
  <si>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</si>
  <si>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</si>
  <si>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</si>
  <si>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</si>
  <si>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</si>
  <si>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</si>
  <si>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</si>
  <si>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</si>
  <si>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</si>
  <si>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</si>
  <si>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</si>
  <si>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</si>
  <si>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</si>
  <si>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</si>
  <si>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</si>
  <si>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</si>
  <si>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</si>
  <si>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</si>
  <si>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</si>
  <si>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</si>
  <si>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</si>
  <si>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</si>
  <si>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</si>
  <si>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</si>
  <si>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</si>
  <si>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</si>
  <si>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</si>
  <si>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</si>
  <si>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</si>
  <si>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</si>
  <si>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</si>
  <si>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</si>
  <si>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</si>
  <si>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</si>
  <si>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</si>
  <si>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</si>
  <si>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</si>
  <si>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</si>
  <si>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</si>
  <si>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</si>
  <si>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</si>
  <si>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</si>
  <si>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</si>
  <si>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</si>
  <si>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</si>
  <si>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</si>
  <si>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</si>
  <si>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</si>
  <si>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</si>
  <si>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</si>
  <si>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</si>
  <si>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</si>
  <si>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</si>
  <si>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</si>
  <si>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</si>
  <si>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</si>
  <si>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</si>
  <si>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</si>
  <si>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</si>
  <si>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</si>
  <si>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</si>
  <si>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</si>
  <si>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</si>
  <si>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</si>
  <si>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</si>
  <si>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</si>
  <si>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</si>
  <si>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</si>
  <si>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</si>
  <si>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</si>
  <si>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</si>
  <si>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</si>
  <si>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</si>
  <si>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</si>
  <si>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</si>
  <si>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</si>
  <si>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</si>
  <si>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</si>
  <si>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</si>
  <si>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</si>
  <si>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</si>
  <si>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</si>
  <si>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</si>
  <si>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</si>
  <si>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</si>
  <si>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</si>
  <si>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</si>
  <si>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</si>
  <si>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</si>
  <si>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</si>
  <si>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</si>
  <si>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</si>
  <si>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</si>
  <si>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</si>
  <si>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</si>
  <si>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</si>
  <si>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</si>
  <si>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</si>
  <si>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</si>
  <si>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</si>
  <si>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</si>
  <si>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</si>
  <si>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</si>
  <si>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</si>
  <si>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</si>
  <si>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</si>
  <si>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</si>
  <si>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</si>
  <si>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</si>
  <si>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</si>
  <si>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</si>
  <si>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</si>
  <si>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</si>
  <si>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</si>
  <si>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</si>
  <si>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</si>
  <si>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</si>
  <si>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</si>
  <si>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</si>
  <si>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</si>
  <si>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</si>
  <si>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</si>
  <si>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</si>
  <si>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</si>
  <si>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</si>
  <si>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</si>
  <si>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</si>
  <si>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</si>
  <si>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</si>
  <si>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</si>
  <si>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</si>
  <si>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</si>
  <si>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</si>
  <si>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Only Cybersecurity Records</t>
  </si>
  <si>
    <t>Only Data Science Records</t>
  </si>
  <si>
    <t>Only Software Engineering Records</t>
  </si>
  <si>
    <t>Mean</t>
  </si>
  <si>
    <t>Median</t>
  </si>
  <si>
    <t>Mode</t>
  </si>
  <si>
    <t>MEAN&gt;MEDIAN&gt;MODE</t>
  </si>
  <si>
    <t>Right skewed</t>
  </si>
  <si>
    <t>MEAN-MEDIAN=MODE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</si>
</sst>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64" fontId="1" fillId="0" borderId="0" xfId="0" applyNumberFormat="1" applyFont="1"/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  <color rgb="FFFF6699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Cybersecurity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Cybersecurity </a:t>
          </a:r>
        </a:p>
      </cx:txPr>
    </cx:title>
    <cx:plotArea>
      <cx:plotAreaRegion>
        <cx:series layoutId="boxWhisker" uniqueId="{FDF4CD10-BFCD-4541-8D6D-2B996E21E3D5}">
          <cx:dataLabels pos="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aseline="0">
                    <a:solidFill>
                      <a:srgbClr val="FF0000"/>
                    </a:solidFill>
                  </a:defRPr>
                </a:pPr>
                <a:endParaRPr lang="en-US" sz="900" b="0" i="0" u="none" strike="noStrike" baseline="0">
                  <a:solidFill>
                    <a:srgbClr val="FF0000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Data Science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Data Science</a:t>
          </a:r>
        </a:p>
      </cx:txPr>
    </cx:title>
    <cx:plotArea>
      <cx:plotAreaRegion>
        <cx:series layoutId="boxWhisker" uniqueId="{0C1E7C5A-110E-4576-BA6C-20728B0BE3A7}">
          <cx:dataLabels pos="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aseline="0">
                    <a:solidFill>
                      <a:srgbClr val="FF0000"/>
                    </a:solidFill>
                  </a:defRPr>
                </a:pPr>
                <a:endParaRPr lang="en-US" sz="900" b="0" i="0" u="none" strike="noStrike" baseline="0">
                  <a:solidFill>
                    <a:srgbClr val="FF0000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Software engineering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Software engineering</a:t>
          </a:r>
        </a:p>
      </cx:txPr>
    </cx:title>
    <cx:plotArea>
      <cx:plotAreaRegion>
        <cx:series layoutId="boxWhisker" uniqueId="{00F3F417-CE8D-4C10-83EB-F895B463125B}">
          <cx:dataLabels pos="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aseline="0">
                    <a:solidFill>
                      <a:srgbClr val="FF0000"/>
                    </a:solidFill>
                  </a:defRPr>
                </a:pPr>
                <a:endParaRPr lang="en-US" sz="900" b="0" i="0" u="none" strike="noStrike" baseline="0">
                  <a:solidFill>
                    <a:srgbClr val="FF0000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55</xdr:row>
      <xdr:rowOff>45720</xdr:rowOff>
    </xdr:from>
    <xdr:to>
      <xdr:col>6</xdr:col>
      <xdr:colOff>617220</xdr:colOff>
      <xdr:row>70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75A039A-2994-8A97-4173-BDF8AD6698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" y="104546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647700</xdr:colOff>
      <xdr:row>55</xdr:row>
      <xdr:rowOff>30480</xdr:rowOff>
    </xdr:from>
    <xdr:to>
      <xdr:col>14</xdr:col>
      <xdr:colOff>53340</xdr:colOff>
      <xdr:row>84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6FA088F-4FB5-7B41-E715-7F9B1FEB91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32960" y="10439400"/>
              <a:ext cx="4427220" cy="5402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114300</xdr:colOff>
      <xdr:row>55</xdr:row>
      <xdr:rowOff>68580</xdr:rowOff>
    </xdr:from>
    <xdr:to>
      <xdr:col>20</xdr:col>
      <xdr:colOff>0</xdr:colOff>
      <xdr:row>77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26F9ABF-F847-B26E-7CB2-FFC2047B71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21140" y="10477500"/>
              <a:ext cx="4221480" cy="4099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2468-A5A6-4310-A86C-D40FF4A9A1D9}">
  <dimension ref="A1:D151"/>
  <sheetViews>
    <sheetView topLeftCell="A50" workbookViewId="0">
      <selection activeCell="E2" sqref="E2"/>
    </sheetView>
  </sheetViews>
  <sheetFormatPr defaultRowHeight="14.4" x14ac:dyDescent="0.3"/>
  <cols>
    <col min="1" max="1" width="11" customWidth="1"/>
    <col min="2" max="2" width="21.44140625" customWidth="1"/>
    <col min="3" max="3" width="16.5546875" customWidth="1"/>
    <col min="4" max="4" width="15" customWidth="1"/>
  </cols>
  <sheetData>
    <row r="1" spans="1:4" s="3" customFormat="1" ht="4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4">
        <v>398300</v>
      </c>
      <c r="D2" s="4" t="s">
        <v>6</v>
      </c>
    </row>
    <row r="3" spans="1:4" x14ac:dyDescent="0.3">
      <c r="A3" s="1" t="s">
        <v>7</v>
      </c>
      <c r="B3" s="1" t="s">
        <v>8</v>
      </c>
      <c r="C3" s="4">
        <v>390000</v>
      </c>
      <c r="D3" s="4" t="s">
        <v>9</v>
      </c>
    </row>
    <row r="4" spans="1:4" x14ac:dyDescent="0.3">
      <c r="A4" s="1" t="s">
        <v>10</v>
      </c>
      <c r="B4" s="1" t="s">
        <v>11</v>
      </c>
      <c r="C4" s="4">
        <v>472300</v>
      </c>
      <c r="D4" s="4" t="s">
        <v>12</v>
      </c>
    </row>
    <row r="5" spans="1:4" x14ac:dyDescent="0.3">
      <c r="A5" s="1" t="s">
        <v>13</v>
      </c>
      <c r="B5" s="1" t="s">
        <v>5</v>
      </c>
      <c r="C5" s="4">
        <v>502500</v>
      </c>
      <c r="D5" s="4" t="s">
        <v>14</v>
      </c>
    </row>
    <row r="6" spans="1:4" x14ac:dyDescent="0.3">
      <c r="A6" s="1" t="s">
        <v>15</v>
      </c>
      <c r="B6" s="1" t="s">
        <v>8</v>
      </c>
      <c r="C6" s="4">
        <v>395000</v>
      </c>
      <c r="D6" s="4" t="s">
        <v>6</v>
      </c>
    </row>
    <row r="7" spans="1:4" x14ac:dyDescent="0.3">
      <c r="A7" s="1" t="s">
        <v>16</v>
      </c>
      <c r="B7" s="1" t="s">
        <v>8</v>
      </c>
      <c r="C7" s="4">
        <v>431900</v>
      </c>
      <c r="D7" s="4" t="s">
        <v>9</v>
      </c>
    </row>
    <row r="8" spans="1:4" x14ac:dyDescent="0.3">
      <c r="A8" s="1" t="s">
        <v>17</v>
      </c>
      <c r="B8" s="1" t="s">
        <v>8</v>
      </c>
      <c r="C8" s="4">
        <v>464700</v>
      </c>
      <c r="D8" s="4" t="s">
        <v>6</v>
      </c>
    </row>
    <row r="9" spans="1:4" x14ac:dyDescent="0.3">
      <c r="A9" s="1" t="s">
        <v>18</v>
      </c>
      <c r="B9" s="1" t="s">
        <v>8</v>
      </c>
      <c r="C9" s="4">
        <v>465000</v>
      </c>
      <c r="D9" s="4" t="s">
        <v>14</v>
      </c>
    </row>
    <row r="10" spans="1:4" x14ac:dyDescent="0.3">
      <c r="A10" s="1" t="s">
        <v>19</v>
      </c>
      <c r="B10" s="1" t="s">
        <v>5</v>
      </c>
      <c r="C10" s="4">
        <v>774600</v>
      </c>
      <c r="D10" s="4" t="s">
        <v>9</v>
      </c>
    </row>
    <row r="11" spans="1:4" x14ac:dyDescent="0.3">
      <c r="A11" s="1" t="s">
        <v>20</v>
      </c>
      <c r="B11" s="1" t="s">
        <v>5</v>
      </c>
      <c r="C11" s="4">
        <v>1224400</v>
      </c>
      <c r="D11" s="4" t="s">
        <v>6</v>
      </c>
    </row>
    <row r="12" spans="1:4" x14ac:dyDescent="0.3">
      <c r="A12" s="1" t="s">
        <v>21</v>
      </c>
      <c r="B12" s="1" t="s">
        <v>5</v>
      </c>
      <c r="C12" s="4">
        <v>453500</v>
      </c>
      <c r="D12" s="4" t="s">
        <v>22</v>
      </c>
    </row>
    <row r="13" spans="1:4" x14ac:dyDescent="0.3">
      <c r="A13" s="1" t="s">
        <v>23</v>
      </c>
      <c r="B13" s="1" t="s">
        <v>8</v>
      </c>
      <c r="C13" s="4">
        <v>353700</v>
      </c>
      <c r="D13" s="4" t="s">
        <v>12</v>
      </c>
    </row>
    <row r="14" spans="1:4" x14ac:dyDescent="0.3">
      <c r="A14" s="1" t="s">
        <v>24</v>
      </c>
      <c r="B14" s="1" t="s">
        <v>11</v>
      </c>
      <c r="C14" s="4">
        <v>460000</v>
      </c>
      <c r="D14" s="4" t="s">
        <v>22</v>
      </c>
    </row>
    <row r="15" spans="1:4" x14ac:dyDescent="0.3">
      <c r="A15" s="1" t="s">
        <v>25</v>
      </c>
      <c r="B15" s="1" t="s">
        <v>11</v>
      </c>
      <c r="C15" s="4">
        <v>507300</v>
      </c>
      <c r="D15" s="4" t="s">
        <v>14</v>
      </c>
    </row>
    <row r="16" spans="1:4" x14ac:dyDescent="0.3">
      <c r="A16" s="1" t="s">
        <v>26</v>
      </c>
      <c r="B16" s="1" t="s">
        <v>5</v>
      </c>
      <c r="C16" s="4">
        <v>425000</v>
      </c>
      <c r="D16" s="4" t="s">
        <v>12</v>
      </c>
    </row>
    <row r="17" spans="1:4" x14ac:dyDescent="0.3">
      <c r="A17" s="1" t="s">
        <v>27</v>
      </c>
      <c r="B17" s="1" t="s">
        <v>8</v>
      </c>
      <c r="C17" s="4">
        <v>385000</v>
      </c>
      <c r="D17" s="4" t="s">
        <v>9</v>
      </c>
    </row>
    <row r="18" spans="1:4" x14ac:dyDescent="0.3">
      <c r="A18" s="1" t="s">
        <v>28</v>
      </c>
      <c r="B18" s="1" t="s">
        <v>11</v>
      </c>
      <c r="C18" s="4">
        <v>430000</v>
      </c>
      <c r="D18" s="4" t="s">
        <v>9</v>
      </c>
    </row>
    <row r="19" spans="1:4" x14ac:dyDescent="0.3">
      <c r="A19" s="1" t="s">
        <v>29</v>
      </c>
      <c r="B19" s="1" t="s">
        <v>11</v>
      </c>
      <c r="C19" s="4">
        <v>450000</v>
      </c>
      <c r="D19" s="4" t="s">
        <v>6</v>
      </c>
    </row>
    <row r="20" spans="1:4" x14ac:dyDescent="0.3">
      <c r="A20" s="1" t="s">
        <v>30</v>
      </c>
      <c r="B20" s="1" t="s">
        <v>11</v>
      </c>
      <c r="C20" s="4">
        <v>420000</v>
      </c>
      <c r="D20" s="4" t="s">
        <v>12</v>
      </c>
    </row>
    <row r="21" spans="1:4" x14ac:dyDescent="0.3">
      <c r="A21" s="1" t="s">
        <v>31</v>
      </c>
      <c r="B21" s="1" t="s">
        <v>8</v>
      </c>
      <c r="C21" s="4">
        <v>386000</v>
      </c>
      <c r="D21" s="4" t="s">
        <v>6</v>
      </c>
    </row>
    <row r="22" spans="1:4" x14ac:dyDescent="0.3">
      <c r="A22" s="1" t="s">
        <v>32</v>
      </c>
      <c r="B22" s="1" t="s">
        <v>8</v>
      </c>
      <c r="C22" s="4">
        <v>359000</v>
      </c>
      <c r="D22" s="4" t="s">
        <v>12</v>
      </c>
    </row>
    <row r="23" spans="1:4" x14ac:dyDescent="0.3">
      <c r="A23" s="1" t="s">
        <v>33</v>
      </c>
      <c r="B23" s="1" t="s">
        <v>11</v>
      </c>
      <c r="C23" s="4">
        <v>378000</v>
      </c>
      <c r="D23" s="4" t="s">
        <v>22</v>
      </c>
    </row>
    <row r="24" spans="1:4" x14ac:dyDescent="0.3">
      <c r="A24" s="1" t="s">
        <v>34</v>
      </c>
      <c r="B24" s="1" t="s">
        <v>11</v>
      </c>
      <c r="C24" s="4">
        <v>363600</v>
      </c>
      <c r="D24" s="4" t="s">
        <v>14</v>
      </c>
    </row>
    <row r="25" spans="1:4" x14ac:dyDescent="0.3">
      <c r="A25" s="1" t="s">
        <v>35</v>
      </c>
      <c r="B25" s="1" t="s">
        <v>11</v>
      </c>
      <c r="C25" s="4">
        <v>400000</v>
      </c>
      <c r="D25" s="4" t="s">
        <v>14</v>
      </c>
    </row>
    <row r="26" spans="1:4" x14ac:dyDescent="0.3">
      <c r="A26" s="1" t="s">
        <v>36</v>
      </c>
      <c r="B26" s="1" t="s">
        <v>11</v>
      </c>
      <c r="C26" s="4">
        <v>462200</v>
      </c>
      <c r="D26" s="4" t="s">
        <v>14</v>
      </c>
    </row>
    <row r="27" spans="1:4" x14ac:dyDescent="0.3">
      <c r="A27" s="1" t="s">
        <v>37</v>
      </c>
      <c r="B27" s="1" t="s">
        <v>5</v>
      </c>
      <c r="C27" s="4">
        <v>398500</v>
      </c>
      <c r="D27" s="4" t="s">
        <v>14</v>
      </c>
    </row>
    <row r="28" spans="1:4" x14ac:dyDescent="0.3">
      <c r="A28" s="1" t="s">
        <v>38</v>
      </c>
      <c r="B28" s="1" t="s">
        <v>11</v>
      </c>
      <c r="C28" s="4">
        <v>491600</v>
      </c>
      <c r="D28" s="4" t="s">
        <v>12</v>
      </c>
    </row>
    <row r="29" spans="1:4" x14ac:dyDescent="0.3">
      <c r="A29" s="1" t="s">
        <v>39</v>
      </c>
      <c r="B29" s="1" t="s">
        <v>11</v>
      </c>
      <c r="C29" s="4">
        <v>445000</v>
      </c>
      <c r="D29" s="4" t="s">
        <v>12</v>
      </c>
    </row>
    <row r="30" spans="1:4" x14ac:dyDescent="0.3">
      <c r="A30" s="1" t="s">
        <v>40</v>
      </c>
      <c r="B30" s="1" t="s">
        <v>8</v>
      </c>
      <c r="C30" s="4">
        <v>413800</v>
      </c>
      <c r="D30" s="4" t="s">
        <v>14</v>
      </c>
    </row>
    <row r="31" spans="1:4" x14ac:dyDescent="0.3">
      <c r="A31" s="1" t="s">
        <v>41</v>
      </c>
      <c r="B31" s="1" t="s">
        <v>11</v>
      </c>
      <c r="C31" s="4">
        <v>460300</v>
      </c>
      <c r="D31" s="4" t="s">
        <v>12</v>
      </c>
    </row>
    <row r="32" spans="1:4" x14ac:dyDescent="0.3">
      <c r="A32" s="1" t="s">
        <v>42</v>
      </c>
      <c r="B32" s="1" t="s">
        <v>5</v>
      </c>
      <c r="C32" s="4">
        <v>275000</v>
      </c>
      <c r="D32" s="4" t="s">
        <v>9</v>
      </c>
    </row>
    <row r="33" spans="1:4" x14ac:dyDescent="0.3">
      <c r="A33" s="1" t="s">
        <v>43</v>
      </c>
      <c r="B33" s="1" t="s">
        <v>5</v>
      </c>
      <c r="C33" s="4">
        <v>465000</v>
      </c>
      <c r="D33" s="4" t="s">
        <v>12</v>
      </c>
    </row>
    <row r="34" spans="1:4" x14ac:dyDescent="0.3">
      <c r="A34" s="1" t="s">
        <v>44</v>
      </c>
      <c r="B34" s="1" t="s">
        <v>11</v>
      </c>
      <c r="C34" s="4">
        <v>400500</v>
      </c>
      <c r="D34" s="4" t="s">
        <v>6</v>
      </c>
    </row>
    <row r="35" spans="1:4" x14ac:dyDescent="0.3">
      <c r="A35" s="1" t="s">
        <v>45</v>
      </c>
      <c r="B35" s="1" t="s">
        <v>8</v>
      </c>
      <c r="C35" s="4">
        <v>385000</v>
      </c>
      <c r="D35" s="4" t="s">
        <v>6</v>
      </c>
    </row>
    <row r="36" spans="1:4" x14ac:dyDescent="0.3">
      <c r="A36" s="1" t="s">
        <v>46</v>
      </c>
      <c r="B36" s="1" t="s">
        <v>8</v>
      </c>
      <c r="C36" s="4">
        <v>411800</v>
      </c>
      <c r="D36" s="4" t="s">
        <v>12</v>
      </c>
    </row>
    <row r="37" spans="1:4" x14ac:dyDescent="0.3">
      <c r="A37" s="1" t="s">
        <v>47</v>
      </c>
      <c r="B37" s="1" t="s">
        <v>5</v>
      </c>
      <c r="C37" s="4">
        <v>475000</v>
      </c>
      <c r="D37" s="4" t="s">
        <v>14</v>
      </c>
    </row>
    <row r="38" spans="1:4" x14ac:dyDescent="0.3">
      <c r="A38" s="1" t="s">
        <v>48</v>
      </c>
      <c r="B38" s="1" t="s">
        <v>11</v>
      </c>
      <c r="C38" s="4">
        <v>366900</v>
      </c>
      <c r="D38" s="4" t="s">
        <v>12</v>
      </c>
    </row>
    <row r="39" spans="1:4" x14ac:dyDescent="0.3">
      <c r="A39" s="1" t="s">
        <v>49</v>
      </c>
      <c r="B39" s="1" t="s">
        <v>8</v>
      </c>
      <c r="C39" s="4">
        <v>403500</v>
      </c>
      <c r="D39" s="4" t="s">
        <v>12</v>
      </c>
    </row>
    <row r="40" spans="1:4" x14ac:dyDescent="0.3">
      <c r="A40" s="1" t="s">
        <v>50</v>
      </c>
      <c r="B40" s="1" t="s">
        <v>8</v>
      </c>
      <c r="C40" s="4">
        <v>385000</v>
      </c>
      <c r="D40" s="4" t="s">
        <v>6</v>
      </c>
    </row>
    <row r="41" spans="1:4" x14ac:dyDescent="0.3">
      <c r="A41" s="1" t="s">
        <v>51</v>
      </c>
      <c r="B41" s="1" t="s">
        <v>8</v>
      </c>
      <c r="C41" s="4">
        <v>391800</v>
      </c>
      <c r="D41" s="4" t="s">
        <v>14</v>
      </c>
    </row>
    <row r="42" spans="1:4" x14ac:dyDescent="0.3">
      <c r="A42" s="1" t="s">
        <v>52</v>
      </c>
      <c r="B42" s="1" t="s">
        <v>11</v>
      </c>
      <c r="C42" s="4">
        <v>400000</v>
      </c>
      <c r="D42" s="4" t="s">
        <v>22</v>
      </c>
    </row>
    <row r="43" spans="1:4" x14ac:dyDescent="0.3">
      <c r="A43" s="1" t="s">
        <v>53</v>
      </c>
      <c r="B43" s="1" t="s">
        <v>8</v>
      </c>
      <c r="C43" s="4">
        <v>341000</v>
      </c>
      <c r="D43" s="4" t="s">
        <v>14</v>
      </c>
    </row>
    <row r="44" spans="1:4" x14ac:dyDescent="0.3">
      <c r="A44" s="1" t="s">
        <v>54</v>
      </c>
      <c r="B44" s="1" t="s">
        <v>11</v>
      </c>
      <c r="C44" s="4">
        <v>435500</v>
      </c>
      <c r="D44" s="4" t="s">
        <v>12</v>
      </c>
    </row>
    <row r="45" spans="1:4" x14ac:dyDescent="0.3">
      <c r="A45" s="1" t="s">
        <v>55</v>
      </c>
      <c r="B45" s="1" t="s">
        <v>8</v>
      </c>
      <c r="C45" s="4">
        <v>345000</v>
      </c>
      <c r="D45" s="4" t="s">
        <v>12</v>
      </c>
    </row>
    <row r="46" spans="1:4" x14ac:dyDescent="0.3">
      <c r="A46" s="1" t="s">
        <v>56</v>
      </c>
      <c r="B46" s="1" t="s">
        <v>11</v>
      </c>
      <c r="C46" s="4">
        <v>500600</v>
      </c>
      <c r="D46" s="4" t="s">
        <v>22</v>
      </c>
    </row>
    <row r="47" spans="1:4" x14ac:dyDescent="0.3">
      <c r="A47" s="1" t="s">
        <v>57</v>
      </c>
      <c r="B47" s="1" t="s">
        <v>11</v>
      </c>
      <c r="C47" s="4">
        <v>436500</v>
      </c>
      <c r="D47" s="4" t="s">
        <v>12</v>
      </c>
    </row>
    <row r="48" spans="1:4" x14ac:dyDescent="0.3">
      <c r="A48" s="1" t="s">
        <v>58</v>
      </c>
      <c r="B48" s="1" t="s">
        <v>8</v>
      </c>
      <c r="C48" s="4">
        <v>392000</v>
      </c>
      <c r="D48" s="4" t="s">
        <v>9</v>
      </c>
    </row>
    <row r="49" spans="1:4" x14ac:dyDescent="0.3">
      <c r="A49" s="1" t="s">
        <v>59</v>
      </c>
      <c r="B49" s="1" t="s">
        <v>5</v>
      </c>
      <c r="C49" s="4">
        <v>1175400</v>
      </c>
      <c r="D49" s="4" t="s">
        <v>9</v>
      </c>
    </row>
    <row r="50" spans="1:4" x14ac:dyDescent="0.3">
      <c r="A50" s="1" t="s">
        <v>60</v>
      </c>
      <c r="B50" s="1" t="s">
        <v>8</v>
      </c>
      <c r="C50" s="4">
        <v>342000</v>
      </c>
      <c r="D50" s="4" t="s">
        <v>22</v>
      </c>
    </row>
    <row r="51" spans="1:4" x14ac:dyDescent="0.3">
      <c r="A51" s="1" t="s">
        <v>61</v>
      </c>
      <c r="B51" s="1" t="s">
        <v>11</v>
      </c>
      <c r="C51" s="4">
        <v>444500</v>
      </c>
      <c r="D51" s="4" t="s">
        <v>6</v>
      </c>
    </row>
    <row r="52" spans="1:4" x14ac:dyDescent="0.3">
      <c r="A52" s="1" t="s">
        <v>62</v>
      </c>
      <c r="B52" s="1" t="s">
        <v>11</v>
      </c>
      <c r="C52" s="4">
        <v>400000</v>
      </c>
      <c r="D52" s="4" t="s">
        <v>9</v>
      </c>
    </row>
    <row r="53" spans="1:4" x14ac:dyDescent="0.3">
      <c r="A53" s="1" t="s">
        <v>63</v>
      </c>
      <c r="B53" s="1" t="s">
        <v>8</v>
      </c>
      <c r="C53" s="4">
        <v>385000</v>
      </c>
      <c r="D53" s="4" t="s">
        <v>22</v>
      </c>
    </row>
    <row r="54" spans="1:4" x14ac:dyDescent="0.3">
      <c r="A54" s="1" t="s">
        <v>64</v>
      </c>
      <c r="B54" s="1" t="s">
        <v>5</v>
      </c>
      <c r="C54" s="4">
        <v>424800</v>
      </c>
      <c r="D54" s="4" t="s">
        <v>6</v>
      </c>
    </row>
    <row r="55" spans="1:4" x14ac:dyDescent="0.3">
      <c r="A55" s="1" t="s">
        <v>65</v>
      </c>
      <c r="B55" s="1" t="s">
        <v>5</v>
      </c>
      <c r="C55" s="4">
        <v>425000</v>
      </c>
      <c r="D55" s="4" t="s">
        <v>12</v>
      </c>
    </row>
    <row r="56" spans="1:4" x14ac:dyDescent="0.3">
      <c r="A56" s="1" t="s">
        <v>66</v>
      </c>
      <c r="B56" s="1" t="s">
        <v>11</v>
      </c>
      <c r="C56" s="4">
        <v>497900</v>
      </c>
      <c r="D56" s="4" t="s">
        <v>12</v>
      </c>
    </row>
    <row r="57" spans="1:4" x14ac:dyDescent="0.3">
      <c r="A57" s="1" t="s">
        <v>67</v>
      </c>
      <c r="B57" s="1" t="s">
        <v>8</v>
      </c>
      <c r="C57" s="4">
        <v>406800</v>
      </c>
      <c r="D57" s="4" t="s">
        <v>14</v>
      </c>
    </row>
    <row r="58" spans="1:4" x14ac:dyDescent="0.3">
      <c r="A58" s="1" t="s">
        <v>68</v>
      </c>
      <c r="B58" s="1" t="s">
        <v>8</v>
      </c>
      <c r="C58" s="4">
        <v>424200</v>
      </c>
      <c r="D58" s="4" t="s">
        <v>14</v>
      </c>
    </row>
    <row r="59" spans="1:4" x14ac:dyDescent="0.3">
      <c r="A59" s="1" t="s">
        <v>69</v>
      </c>
      <c r="B59" s="1" t="s">
        <v>8</v>
      </c>
      <c r="C59" s="4">
        <v>346900</v>
      </c>
      <c r="D59" s="4" t="s">
        <v>12</v>
      </c>
    </row>
    <row r="60" spans="1:4" x14ac:dyDescent="0.3">
      <c r="A60" s="1" t="s">
        <v>70</v>
      </c>
      <c r="B60" s="1" t="s">
        <v>8</v>
      </c>
      <c r="C60" s="4">
        <v>424100</v>
      </c>
      <c r="D60" s="4" t="s">
        <v>14</v>
      </c>
    </row>
    <row r="61" spans="1:4" x14ac:dyDescent="0.3">
      <c r="A61" s="1" t="s">
        <v>71</v>
      </c>
      <c r="B61" s="1" t="s">
        <v>8</v>
      </c>
      <c r="C61" s="4">
        <v>369500</v>
      </c>
      <c r="D61" s="4" t="s">
        <v>9</v>
      </c>
    </row>
    <row r="62" spans="1:4" x14ac:dyDescent="0.3">
      <c r="A62" s="1" t="s">
        <v>72</v>
      </c>
      <c r="B62" s="1" t="s">
        <v>5</v>
      </c>
      <c r="C62" s="4">
        <v>445000</v>
      </c>
      <c r="D62" s="4" t="s">
        <v>6</v>
      </c>
    </row>
    <row r="63" spans="1:4" x14ac:dyDescent="0.3">
      <c r="A63" s="1" t="s">
        <v>73</v>
      </c>
      <c r="B63" s="1" t="s">
        <v>8</v>
      </c>
      <c r="C63" s="4">
        <v>394400</v>
      </c>
      <c r="D63" s="4" t="s">
        <v>9</v>
      </c>
    </row>
    <row r="64" spans="1:4" x14ac:dyDescent="0.3">
      <c r="A64" s="1" t="s">
        <v>74</v>
      </c>
      <c r="B64" s="1" t="s">
        <v>11</v>
      </c>
      <c r="C64" s="4">
        <v>479600</v>
      </c>
      <c r="D64" s="4" t="s">
        <v>12</v>
      </c>
    </row>
    <row r="65" spans="1:4" x14ac:dyDescent="0.3">
      <c r="A65" s="1" t="s">
        <v>75</v>
      </c>
      <c r="B65" s="1" t="s">
        <v>5</v>
      </c>
      <c r="C65" s="4">
        <v>455000</v>
      </c>
      <c r="D65" s="4" t="s">
        <v>9</v>
      </c>
    </row>
    <row r="66" spans="1:4" x14ac:dyDescent="0.3">
      <c r="A66" s="1" t="s">
        <v>76</v>
      </c>
      <c r="B66" s="1" t="s">
        <v>11</v>
      </c>
      <c r="C66" s="4">
        <v>417500</v>
      </c>
      <c r="D66" s="4" t="s">
        <v>22</v>
      </c>
    </row>
    <row r="67" spans="1:4" x14ac:dyDescent="0.3">
      <c r="A67" s="1" t="s">
        <v>77</v>
      </c>
      <c r="B67" s="1" t="s">
        <v>8</v>
      </c>
      <c r="C67" s="4">
        <v>421700</v>
      </c>
      <c r="D67" s="4" t="s">
        <v>14</v>
      </c>
    </row>
    <row r="68" spans="1:4" x14ac:dyDescent="0.3">
      <c r="A68" s="1" t="s">
        <v>78</v>
      </c>
      <c r="B68" s="1" t="s">
        <v>8</v>
      </c>
      <c r="C68" s="4">
        <v>397500</v>
      </c>
      <c r="D68" s="4" t="s">
        <v>12</v>
      </c>
    </row>
    <row r="69" spans="1:4" x14ac:dyDescent="0.3">
      <c r="A69" s="1" t="s">
        <v>79</v>
      </c>
      <c r="B69" s="1" t="s">
        <v>8</v>
      </c>
      <c r="C69" s="4">
        <v>420000</v>
      </c>
      <c r="D69" s="4" t="s">
        <v>14</v>
      </c>
    </row>
    <row r="70" spans="1:4" x14ac:dyDescent="0.3">
      <c r="A70" s="1" t="s">
        <v>80</v>
      </c>
      <c r="B70" s="1" t="s">
        <v>11</v>
      </c>
      <c r="C70" s="4">
        <v>451600</v>
      </c>
      <c r="D70" s="4" t="s">
        <v>14</v>
      </c>
    </row>
    <row r="71" spans="1:4" x14ac:dyDescent="0.3">
      <c r="A71" s="1" t="s">
        <v>81</v>
      </c>
      <c r="B71" s="1" t="s">
        <v>5</v>
      </c>
      <c r="C71" s="4">
        <v>427800</v>
      </c>
      <c r="D71" s="4" t="s">
        <v>22</v>
      </c>
    </row>
    <row r="72" spans="1:4" x14ac:dyDescent="0.3">
      <c r="A72" s="1" t="s">
        <v>82</v>
      </c>
      <c r="B72" s="1" t="s">
        <v>11</v>
      </c>
      <c r="C72" s="4">
        <v>396200</v>
      </c>
      <c r="D72" s="4" t="s">
        <v>22</v>
      </c>
    </row>
    <row r="73" spans="1:4" x14ac:dyDescent="0.3">
      <c r="A73" s="1" t="s">
        <v>83</v>
      </c>
      <c r="B73" s="1" t="s">
        <v>5</v>
      </c>
      <c r="C73" s="4">
        <v>517500</v>
      </c>
      <c r="D73" s="4" t="s">
        <v>12</v>
      </c>
    </row>
    <row r="74" spans="1:4" x14ac:dyDescent="0.3">
      <c r="A74" s="1" t="s">
        <v>84</v>
      </c>
      <c r="B74" s="1" t="s">
        <v>11</v>
      </c>
      <c r="C74" s="4">
        <v>573000</v>
      </c>
      <c r="D74" s="4" t="s">
        <v>14</v>
      </c>
    </row>
    <row r="75" spans="1:4" x14ac:dyDescent="0.3">
      <c r="A75" s="1" t="s">
        <v>85</v>
      </c>
      <c r="B75" s="1" t="s">
        <v>11</v>
      </c>
      <c r="C75" s="4">
        <v>400000</v>
      </c>
      <c r="D75" s="4" t="s">
        <v>6</v>
      </c>
    </row>
    <row r="76" spans="1:4" x14ac:dyDescent="0.3">
      <c r="A76" s="1" t="s">
        <v>86</v>
      </c>
      <c r="B76" s="1" t="s">
        <v>8</v>
      </c>
      <c r="C76" s="4">
        <v>394500</v>
      </c>
      <c r="D76" s="4" t="s">
        <v>14</v>
      </c>
    </row>
    <row r="77" spans="1:4" x14ac:dyDescent="0.3">
      <c r="A77" s="1" t="s">
        <v>87</v>
      </c>
      <c r="B77" s="1" t="s">
        <v>8</v>
      </c>
      <c r="C77" s="4">
        <v>385000</v>
      </c>
      <c r="D77" s="4" t="s">
        <v>9</v>
      </c>
    </row>
    <row r="78" spans="1:4" x14ac:dyDescent="0.3">
      <c r="A78" s="1" t="s">
        <v>88</v>
      </c>
      <c r="B78" s="1" t="s">
        <v>5</v>
      </c>
      <c r="C78" s="4">
        <v>395000</v>
      </c>
      <c r="D78" s="4" t="s">
        <v>14</v>
      </c>
    </row>
    <row r="79" spans="1:4" x14ac:dyDescent="0.3">
      <c r="A79" s="1" t="s">
        <v>89</v>
      </c>
      <c r="B79" s="1" t="s">
        <v>8</v>
      </c>
      <c r="C79" s="4">
        <v>463000</v>
      </c>
      <c r="D79" s="4" t="s">
        <v>12</v>
      </c>
    </row>
    <row r="80" spans="1:4" x14ac:dyDescent="0.3">
      <c r="A80" s="1" t="s">
        <v>90</v>
      </c>
      <c r="B80" s="1" t="s">
        <v>5</v>
      </c>
      <c r="C80" s="4">
        <v>475800</v>
      </c>
      <c r="D80" s="4" t="s">
        <v>6</v>
      </c>
    </row>
    <row r="81" spans="1:4" x14ac:dyDescent="0.3">
      <c r="A81" s="1" t="s">
        <v>91</v>
      </c>
      <c r="B81" s="1" t="s">
        <v>5</v>
      </c>
      <c r="C81" s="4">
        <v>555800</v>
      </c>
      <c r="D81" s="4" t="s">
        <v>9</v>
      </c>
    </row>
    <row r="82" spans="1:4" x14ac:dyDescent="0.3">
      <c r="A82" s="1" t="s">
        <v>92</v>
      </c>
      <c r="B82" s="1" t="s">
        <v>8</v>
      </c>
      <c r="C82" s="4">
        <v>396900</v>
      </c>
      <c r="D82" s="4" t="s">
        <v>22</v>
      </c>
    </row>
    <row r="83" spans="1:4" x14ac:dyDescent="0.3">
      <c r="A83" s="1" t="s">
        <v>93</v>
      </c>
      <c r="B83" s="1" t="s">
        <v>5</v>
      </c>
      <c r="C83" s="4">
        <v>339400</v>
      </c>
      <c r="D83" s="4" t="s">
        <v>12</v>
      </c>
    </row>
    <row r="84" spans="1:4" x14ac:dyDescent="0.3">
      <c r="A84" s="1" t="s">
        <v>94</v>
      </c>
      <c r="B84" s="1" t="s">
        <v>11</v>
      </c>
      <c r="C84" s="4">
        <v>378200</v>
      </c>
      <c r="D84" s="4" t="s">
        <v>9</v>
      </c>
    </row>
    <row r="85" spans="1:4" x14ac:dyDescent="0.3">
      <c r="A85" s="1" t="s">
        <v>95</v>
      </c>
      <c r="B85" s="1" t="s">
        <v>11</v>
      </c>
      <c r="C85" s="4">
        <v>405500</v>
      </c>
      <c r="D85" s="4" t="s">
        <v>6</v>
      </c>
    </row>
    <row r="86" spans="1:4" x14ac:dyDescent="0.3">
      <c r="A86" s="1" t="s">
        <v>96</v>
      </c>
      <c r="B86" s="1" t="s">
        <v>11</v>
      </c>
      <c r="C86" s="4">
        <v>340000</v>
      </c>
      <c r="D86" s="4" t="s">
        <v>14</v>
      </c>
    </row>
    <row r="87" spans="1:4" x14ac:dyDescent="0.3">
      <c r="A87" s="1" t="s">
        <v>97</v>
      </c>
      <c r="B87" s="1" t="s">
        <v>8</v>
      </c>
      <c r="C87" s="4">
        <v>388000</v>
      </c>
      <c r="D87" s="4" t="s">
        <v>6</v>
      </c>
    </row>
    <row r="88" spans="1:4" x14ac:dyDescent="0.3">
      <c r="A88" s="1" t="s">
        <v>98</v>
      </c>
      <c r="B88" s="1" t="s">
        <v>5</v>
      </c>
      <c r="C88" s="4">
        <v>485000</v>
      </c>
      <c r="D88" s="4" t="s">
        <v>14</v>
      </c>
    </row>
    <row r="89" spans="1:4" x14ac:dyDescent="0.3">
      <c r="A89" s="1" t="s">
        <v>99</v>
      </c>
      <c r="B89" s="1" t="s">
        <v>8</v>
      </c>
      <c r="C89" s="4">
        <v>357500</v>
      </c>
      <c r="D89" s="4" t="s">
        <v>6</v>
      </c>
    </row>
    <row r="90" spans="1:4" x14ac:dyDescent="0.3">
      <c r="A90" s="1" t="s">
        <v>100</v>
      </c>
      <c r="B90" s="1" t="s">
        <v>5</v>
      </c>
      <c r="C90" s="4">
        <v>1169500</v>
      </c>
      <c r="D90" s="4" t="s">
        <v>22</v>
      </c>
    </row>
    <row r="91" spans="1:4" x14ac:dyDescent="0.3">
      <c r="A91" s="1" t="s">
        <v>101</v>
      </c>
      <c r="B91" s="1" t="s">
        <v>11</v>
      </c>
      <c r="C91" s="4">
        <v>390000</v>
      </c>
      <c r="D91" s="4" t="s">
        <v>12</v>
      </c>
    </row>
    <row r="92" spans="1:4" x14ac:dyDescent="0.3">
      <c r="A92" s="1" t="s">
        <v>102</v>
      </c>
      <c r="B92" s="1" t="s">
        <v>11</v>
      </c>
      <c r="C92" s="4">
        <v>392000</v>
      </c>
      <c r="D92" s="4" t="s">
        <v>9</v>
      </c>
    </row>
    <row r="93" spans="1:4" x14ac:dyDescent="0.3">
      <c r="A93" s="1" t="s">
        <v>103</v>
      </c>
      <c r="B93" s="1" t="s">
        <v>8</v>
      </c>
      <c r="C93" s="4">
        <v>461700</v>
      </c>
      <c r="D93" s="4" t="s">
        <v>9</v>
      </c>
    </row>
    <row r="94" spans="1:4" x14ac:dyDescent="0.3">
      <c r="A94" s="1" t="s">
        <v>104</v>
      </c>
      <c r="B94" s="1" t="s">
        <v>5</v>
      </c>
      <c r="C94" s="4">
        <v>275000</v>
      </c>
      <c r="D94" s="4" t="s">
        <v>6</v>
      </c>
    </row>
    <row r="95" spans="1:4" x14ac:dyDescent="0.3">
      <c r="A95" s="1" t="s">
        <v>105</v>
      </c>
      <c r="B95" s="1" t="s">
        <v>8</v>
      </c>
      <c r="C95" s="4">
        <v>407800</v>
      </c>
      <c r="D95" s="4" t="s">
        <v>22</v>
      </c>
    </row>
    <row r="96" spans="1:4" x14ac:dyDescent="0.3">
      <c r="A96" s="1" t="s">
        <v>106</v>
      </c>
      <c r="B96" s="1" t="s">
        <v>5</v>
      </c>
      <c r="C96" s="4">
        <v>499100</v>
      </c>
      <c r="D96" s="4" t="s">
        <v>6</v>
      </c>
    </row>
    <row r="97" spans="1:4" x14ac:dyDescent="0.3">
      <c r="A97" s="1" t="s">
        <v>107</v>
      </c>
      <c r="B97" s="1" t="s">
        <v>5</v>
      </c>
      <c r="C97" s="4">
        <v>478000</v>
      </c>
      <c r="D97" s="4" t="s">
        <v>22</v>
      </c>
    </row>
    <row r="98" spans="1:4" x14ac:dyDescent="0.3">
      <c r="A98" s="1" t="s">
        <v>108</v>
      </c>
      <c r="B98" s="1" t="s">
        <v>8</v>
      </c>
      <c r="C98" s="4">
        <v>337200</v>
      </c>
      <c r="D98" s="4" t="s">
        <v>22</v>
      </c>
    </row>
    <row r="99" spans="1:4" x14ac:dyDescent="0.3">
      <c r="A99" s="1" t="s">
        <v>109</v>
      </c>
      <c r="B99" s="1" t="s">
        <v>8</v>
      </c>
      <c r="C99" s="4">
        <v>347600</v>
      </c>
      <c r="D99" s="4" t="s">
        <v>9</v>
      </c>
    </row>
    <row r="100" spans="1:4" x14ac:dyDescent="0.3">
      <c r="A100" s="1" t="s">
        <v>110</v>
      </c>
      <c r="B100" s="1" t="s">
        <v>11</v>
      </c>
      <c r="C100" s="4">
        <v>380000</v>
      </c>
      <c r="D100" s="4" t="s">
        <v>9</v>
      </c>
    </row>
    <row r="101" spans="1:4" x14ac:dyDescent="0.3">
      <c r="A101" s="1" t="s">
        <v>111</v>
      </c>
      <c r="B101" s="1" t="s">
        <v>11</v>
      </c>
      <c r="C101" s="4">
        <v>586200</v>
      </c>
      <c r="D101" s="4" t="s">
        <v>9</v>
      </c>
    </row>
    <row r="102" spans="1:4" x14ac:dyDescent="0.3">
      <c r="A102" s="1" t="s">
        <v>112</v>
      </c>
      <c r="B102" s="1" t="s">
        <v>5</v>
      </c>
      <c r="C102" s="4">
        <v>367900</v>
      </c>
      <c r="D102" s="4" t="s">
        <v>22</v>
      </c>
    </row>
    <row r="103" spans="1:4" x14ac:dyDescent="0.3">
      <c r="A103" s="1" t="s">
        <v>113</v>
      </c>
      <c r="B103" s="1" t="s">
        <v>5</v>
      </c>
      <c r="C103" s="4">
        <v>449100</v>
      </c>
      <c r="D103" s="4" t="s">
        <v>22</v>
      </c>
    </row>
    <row r="104" spans="1:4" x14ac:dyDescent="0.3">
      <c r="A104" s="1" t="s">
        <v>114</v>
      </c>
      <c r="B104" s="1" t="s">
        <v>5</v>
      </c>
      <c r="C104" s="4">
        <v>425000</v>
      </c>
      <c r="D104" s="4" t="s">
        <v>14</v>
      </c>
    </row>
    <row r="105" spans="1:4" x14ac:dyDescent="0.3">
      <c r="A105" s="1" t="s">
        <v>115</v>
      </c>
      <c r="B105" s="1" t="s">
        <v>5</v>
      </c>
      <c r="C105" s="4">
        <v>459000</v>
      </c>
      <c r="D105" s="4" t="s">
        <v>6</v>
      </c>
    </row>
    <row r="106" spans="1:4" x14ac:dyDescent="0.3">
      <c r="A106" s="1" t="s">
        <v>116</v>
      </c>
      <c r="B106" s="1" t="s">
        <v>11</v>
      </c>
      <c r="C106" s="4">
        <v>400000</v>
      </c>
      <c r="D106" s="4" t="s">
        <v>9</v>
      </c>
    </row>
    <row r="107" spans="1:4" x14ac:dyDescent="0.3">
      <c r="A107" s="1" t="s">
        <v>117</v>
      </c>
      <c r="B107" s="1" t="s">
        <v>5</v>
      </c>
      <c r="C107" s="4">
        <v>587700</v>
      </c>
      <c r="D107" s="4" t="s">
        <v>22</v>
      </c>
    </row>
    <row r="108" spans="1:4" x14ac:dyDescent="0.3">
      <c r="A108" s="1" t="s">
        <v>118</v>
      </c>
      <c r="B108" s="1" t="s">
        <v>5</v>
      </c>
      <c r="C108" s="4">
        <v>425000</v>
      </c>
      <c r="D108" s="4" t="s">
        <v>12</v>
      </c>
    </row>
    <row r="109" spans="1:4" x14ac:dyDescent="0.3">
      <c r="A109" s="1" t="s">
        <v>119</v>
      </c>
      <c r="B109" s="1" t="s">
        <v>8</v>
      </c>
      <c r="C109" s="4">
        <v>356500</v>
      </c>
      <c r="D109" s="4" t="s">
        <v>9</v>
      </c>
    </row>
    <row r="110" spans="1:4" x14ac:dyDescent="0.3">
      <c r="A110" s="1" t="s">
        <v>120</v>
      </c>
      <c r="B110" s="1" t="s">
        <v>8</v>
      </c>
      <c r="C110" s="4">
        <v>444400</v>
      </c>
      <c r="D110" s="4" t="s">
        <v>12</v>
      </c>
    </row>
    <row r="111" spans="1:4" x14ac:dyDescent="0.3">
      <c r="A111" s="1" t="s">
        <v>121</v>
      </c>
      <c r="B111" s="1" t="s">
        <v>5</v>
      </c>
      <c r="C111" s="4">
        <v>456000</v>
      </c>
      <c r="D111" s="4" t="s">
        <v>22</v>
      </c>
    </row>
    <row r="112" spans="1:4" x14ac:dyDescent="0.3">
      <c r="A112" s="1" t="s">
        <v>122</v>
      </c>
      <c r="B112" s="1" t="s">
        <v>5</v>
      </c>
      <c r="C112" s="4">
        <v>511700</v>
      </c>
      <c r="D112" s="4" t="s">
        <v>22</v>
      </c>
    </row>
    <row r="113" spans="1:4" x14ac:dyDescent="0.3">
      <c r="A113" s="1" t="s">
        <v>123</v>
      </c>
      <c r="B113" s="1" t="s">
        <v>5</v>
      </c>
      <c r="C113" s="4">
        <v>536300</v>
      </c>
      <c r="D113" s="4" t="s">
        <v>12</v>
      </c>
    </row>
    <row r="114" spans="1:4" x14ac:dyDescent="0.3">
      <c r="A114" s="1" t="s">
        <v>124</v>
      </c>
      <c r="B114" s="1" t="s">
        <v>8</v>
      </c>
      <c r="C114" s="4">
        <v>365400</v>
      </c>
      <c r="D114" s="4" t="s">
        <v>14</v>
      </c>
    </row>
    <row r="115" spans="1:4" x14ac:dyDescent="0.3">
      <c r="A115" s="1" t="s">
        <v>125</v>
      </c>
      <c r="B115" s="1" t="s">
        <v>11</v>
      </c>
      <c r="C115" s="4">
        <v>422500</v>
      </c>
      <c r="D115" s="4" t="s">
        <v>12</v>
      </c>
    </row>
    <row r="116" spans="1:4" x14ac:dyDescent="0.3">
      <c r="A116" s="1" t="s">
        <v>126</v>
      </c>
      <c r="B116" s="1" t="s">
        <v>8</v>
      </c>
      <c r="C116" s="4">
        <v>385000</v>
      </c>
      <c r="D116" s="4" t="s">
        <v>22</v>
      </c>
    </row>
    <row r="117" spans="1:4" x14ac:dyDescent="0.3">
      <c r="A117" s="1" t="s">
        <v>127</v>
      </c>
      <c r="B117" s="1" t="s">
        <v>11</v>
      </c>
      <c r="C117" s="4">
        <v>370000</v>
      </c>
      <c r="D117" s="4" t="s">
        <v>9</v>
      </c>
    </row>
    <row r="118" spans="1:4" x14ac:dyDescent="0.3">
      <c r="A118" s="1" t="s">
        <v>128</v>
      </c>
      <c r="B118" s="1" t="s">
        <v>11</v>
      </c>
      <c r="C118" s="4">
        <v>400000</v>
      </c>
      <c r="D118" s="4" t="s">
        <v>14</v>
      </c>
    </row>
    <row r="119" spans="1:4" x14ac:dyDescent="0.3">
      <c r="A119" s="1" t="s">
        <v>129</v>
      </c>
      <c r="B119" s="1" t="s">
        <v>5</v>
      </c>
      <c r="C119" s="4">
        <v>425000</v>
      </c>
      <c r="D119" s="4" t="s">
        <v>14</v>
      </c>
    </row>
    <row r="120" spans="1:4" x14ac:dyDescent="0.3">
      <c r="A120" s="1" t="s">
        <v>130</v>
      </c>
      <c r="B120" s="1" t="s">
        <v>8</v>
      </c>
      <c r="C120" s="4">
        <v>385000</v>
      </c>
      <c r="D120" s="4" t="s">
        <v>12</v>
      </c>
    </row>
    <row r="121" spans="1:4" x14ac:dyDescent="0.3">
      <c r="A121" s="1" t="s">
        <v>131</v>
      </c>
      <c r="B121" s="1" t="s">
        <v>8</v>
      </c>
      <c r="C121" s="4">
        <v>337800</v>
      </c>
      <c r="D121" s="4" t="s">
        <v>9</v>
      </c>
    </row>
    <row r="122" spans="1:4" x14ac:dyDescent="0.3">
      <c r="A122" s="1" t="s">
        <v>132</v>
      </c>
      <c r="B122" s="1" t="s">
        <v>5</v>
      </c>
      <c r="C122" s="4">
        <v>540100</v>
      </c>
      <c r="D122" s="4" t="s">
        <v>22</v>
      </c>
    </row>
    <row r="123" spans="1:4" x14ac:dyDescent="0.3">
      <c r="A123" s="1" t="s">
        <v>133</v>
      </c>
      <c r="B123" s="1" t="s">
        <v>11</v>
      </c>
      <c r="C123" s="4">
        <v>400000</v>
      </c>
      <c r="D123" s="4" t="s">
        <v>14</v>
      </c>
    </row>
    <row r="124" spans="1:4" x14ac:dyDescent="0.3">
      <c r="A124" s="1" t="s">
        <v>134</v>
      </c>
      <c r="B124" s="1" t="s">
        <v>8</v>
      </c>
      <c r="C124" s="4">
        <v>329600</v>
      </c>
      <c r="D124" s="4" t="s">
        <v>22</v>
      </c>
    </row>
    <row r="125" spans="1:4" x14ac:dyDescent="0.3">
      <c r="A125" s="1" t="s">
        <v>135</v>
      </c>
      <c r="B125" s="1" t="s">
        <v>11</v>
      </c>
      <c r="C125" s="4">
        <v>485400</v>
      </c>
      <c r="D125" s="4" t="s">
        <v>9</v>
      </c>
    </row>
    <row r="126" spans="1:4" x14ac:dyDescent="0.3">
      <c r="A126" s="1" t="s">
        <v>136</v>
      </c>
      <c r="B126" s="1" t="s">
        <v>11</v>
      </c>
      <c r="C126" s="4">
        <v>395500</v>
      </c>
      <c r="D126" s="4" t="s">
        <v>14</v>
      </c>
    </row>
    <row r="127" spans="1:4" x14ac:dyDescent="0.3">
      <c r="A127" s="1" t="s">
        <v>137</v>
      </c>
      <c r="B127" s="1" t="s">
        <v>5</v>
      </c>
      <c r="C127" s="4">
        <v>425000</v>
      </c>
      <c r="D127" s="4" t="s">
        <v>14</v>
      </c>
    </row>
    <row r="128" spans="1:4" x14ac:dyDescent="0.3">
      <c r="A128" s="1" t="s">
        <v>138</v>
      </c>
      <c r="B128" s="1" t="s">
        <v>11</v>
      </c>
      <c r="C128" s="4">
        <v>427700</v>
      </c>
      <c r="D128" s="4" t="s">
        <v>14</v>
      </c>
    </row>
    <row r="129" spans="1:4" x14ac:dyDescent="0.3">
      <c r="A129" s="1" t="s">
        <v>139</v>
      </c>
      <c r="B129" s="1" t="s">
        <v>8</v>
      </c>
      <c r="C129" s="4">
        <v>376600</v>
      </c>
      <c r="D129" s="4" t="s">
        <v>9</v>
      </c>
    </row>
    <row r="130" spans="1:4" x14ac:dyDescent="0.3">
      <c r="A130" s="1" t="s">
        <v>140</v>
      </c>
      <c r="B130" s="1" t="s">
        <v>5</v>
      </c>
      <c r="C130" s="4">
        <v>425000</v>
      </c>
      <c r="D130" s="4" t="s">
        <v>9</v>
      </c>
    </row>
    <row r="131" spans="1:4" x14ac:dyDescent="0.3">
      <c r="A131" s="1" t="s">
        <v>141</v>
      </c>
      <c r="B131" s="1" t="s">
        <v>8</v>
      </c>
      <c r="C131" s="4">
        <v>329800</v>
      </c>
      <c r="D131" s="4" t="s">
        <v>6</v>
      </c>
    </row>
    <row r="132" spans="1:4" x14ac:dyDescent="0.3">
      <c r="A132" s="1" t="s">
        <v>142</v>
      </c>
      <c r="B132" s="1" t="s">
        <v>11</v>
      </c>
      <c r="C132" s="4">
        <v>399000</v>
      </c>
      <c r="D132" s="4" t="s">
        <v>14</v>
      </c>
    </row>
    <row r="133" spans="1:4" x14ac:dyDescent="0.3">
      <c r="A133" s="1" t="s">
        <v>143</v>
      </c>
      <c r="B133" s="1" t="s">
        <v>5</v>
      </c>
      <c r="C133" s="4">
        <v>348000</v>
      </c>
      <c r="D133" s="4" t="s">
        <v>14</v>
      </c>
    </row>
    <row r="134" spans="1:4" x14ac:dyDescent="0.3">
      <c r="A134" s="1" t="s">
        <v>144</v>
      </c>
      <c r="B134" s="1" t="s">
        <v>5</v>
      </c>
      <c r="C134" s="4">
        <v>358900</v>
      </c>
      <c r="D134" s="4" t="s">
        <v>9</v>
      </c>
    </row>
    <row r="135" spans="1:4" x14ac:dyDescent="0.3">
      <c r="A135" s="1" t="s">
        <v>145</v>
      </c>
      <c r="B135" s="1" t="s">
        <v>8</v>
      </c>
      <c r="C135" s="4">
        <v>360500</v>
      </c>
      <c r="D135" s="4" t="s">
        <v>22</v>
      </c>
    </row>
    <row r="136" spans="1:4" x14ac:dyDescent="0.3">
      <c r="A136" s="1" t="s">
        <v>146</v>
      </c>
      <c r="B136" s="1" t="s">
        <v>11</v>
      </c>
      <c r="C136" s="4">
        <v>461700</v>
      </c>
      <c r="D136" s="4" t="s">
        <v>6</v>
      </c>
    </row>
    <row r="137" spans="1:4" x14ac:dyDescent="0.3">
      <c r="A137" s="1" t="s">
        <v>147</v>
      </c>
      <c r="B137" s="1" t="s">
        <v>11</v>
      </c>
      <c r="C137" s="4">
        <v>394000</v>
      </c>
      <c r="D137" s="4" t="s">
        <v>22</v>
      </c>
    </row>
    <row r="138" spans="1:4" x14ac:dyDescent="0.3">
      <c r="A138" s="1" t="s">
        <v>148</v>
      </c>
      <c r="B138" s="1" t="s">
        <v>11</v>
      </c>
      <c r="C138" s="4">
        <v>474200</v>
      </c>
      <c r="D138" s="4" t="s">
        <v>9</v>
      </c>
    </row>
    <row r="139" spans="1:4" x14ac:dyDescent="0.3">
      <c r="A139" s="1" t="s">
        <v>149</v>
      </c>
      <c r="B139" s="1" t="s">
        <v>11</v>
      </c>
      <c r="C139" s="4">
        <v>382500</v>
      </c>
      <c r="D139" s="4" t="s">
        <v>14</v>
      </c>
    </row>
    <row r="140" spans="1:4" x14ac:dyDescent="0.3">
      <c r="A140" s="1" t="s">
        <v>150</v>
      </c>
      <c r="B140" s="1" t="s">
        <v>8</v>
      </c>
      <c r="C140" s="4">
        <v>400000</v>
      </c>
      <c r="D140" s="4" t="s">
        <v>22</v>
      </c>
    </row>
    <row r="141" spans="1:4" x14ac:dyDescent="0.3">
      <c r="A141" s="1" t="s">
        <v>151</v>
      </c>
      <c r="B141" s="1" t="s">
        <v>5</v>
      </c>
      <c r="C141" s="4">
        <v>498300</v>
      </c>
      <c r="D141" s="4" t="s">
        <v>22</v>
      </c>
    </row>
    <row r="142" spans="1:4" x14ac:dyDescent="0.3">
      <c r="A142" s="1" t="s">
        <v>152</v>
      </c>
      <c r="B142" s="1" t="s">
        <v>11</v>
      </c>
      <c r="C142" s="4">
        <v>400000</v>
      </c>
      <c r="D142" s="4" t="s">
        <v>12</v>
      </c>
    </row>
    <row r="143" spans="1:4" x14ac:dyDescent="0.3">
      <c r="A143" s="1" t="s">
        <v>153</v>
      </c>
      <c r="B143" s="1" t="s">
        <v>5</v>
      </c>
      <c r="C143" s="4">
        <v>495000</v>
      </c>
      <c r="D143" s="4" t="s">
        <v>9</v>
      </c>
    </row>
    <row r="144" spans="1:4" x14ac:dyDescent="0.3">
      <c r="A144" s="1" t="s">
        <v>154</v>
      </c>
      <c r="B144" s="1" t="s">
        <v>5</v>
      </c>
      <c r="C144" s="4">
        <v>449500</v>
      </c>
      <c r="D144" s="4" t="s">
        <v>12</v>
      </c>
    </row>
    <row r="145" spans="1:4" x14ac:dyDescent="0.3">
      <c r="A145" s="1" t="s">
        <v>155</v>
      </c>
      <c r="B145" s="1" t="s">
        <v>8</v>
      </c>
      <c r="C145" s="4">
        <v>328500</v>
      </c>
      <c r="D145" s="4" t="s">
        <v>12</v>
      </c>
    </row>
    <row r="146" spans="1:4" x14ac:dyDescent="0.3">
      <c r="A146" s="1" t="s">
        <v>156</v>
      </c>
      <c r="B146" s="1" t="s">
        <v>8</v>
      </c>
      <c r="C146" s="4">
        <v>429200</v>
      </c>
      <c r="D146" s="4" t="s">
        <v>6</v>
      </c>
    </row>
    <row r="147" spans="1:4" x14ac:dyDescent="0.3">
      <c r="A147" s="1" t="s">
        <v>157</v>
      </c>
      <c r="B147" s="1" t="s">
        <v>11</v>
      </c>
      <c r="C147" s="4">
        <v>541500</v>
      </c>
      <c r="D147" s="4" t="s">
        <v>12</v>
      </c>
    </row>
    <row r="148" spans="1:4" x14ac:dyDescent="0.3">
      <c r="A148" s="1" t="s">
        <v>158</v>
      </c>
      <c r="B148" s="1" t="s">
        <v>5</v>
      </c>
      <c r="C148" s="4">
        <v>368300</v>
      </c>
      <c r="D148" s="4" t="s">
        <v>12</v>
      </c>
    </row>
    <row r="149" spans="1:4" x14ac:dyDescent="0.3">
      <c r="A149" s="1" t="s">
        <v>159</v>
      </c>
      <c r="B149" s="1" t="s">
        <v>11</v>
      </c>
      <c r="C149" s="4">
        <v>346900</v>
      </c>
      <c r="D149" s="4" t="s">
        <v>6</v>
      </c>
    </row>
    <row r="150" spans="1:4" x14ac:dyDescent="0.3">
      <c r="A150" s="1" t="s">
        <v>160</v>
      </c>
      <c r="B150" s="1" t="s">
        <v>5</v>
      </c>
      <c r="C150" s="4">
        <v>425000</v>
      </c>
      <c r="D150" s="4" t="s">
        <v>12</v>
      </c>
    </row>
    <row r="151" spans="1:4" x14ac:dyDescent="0.3">
      <c r="A151" s="1" t="s">
        <v>161</v>
      </c>
      <c r="B151" s="1" t="s">
        <v>8</v>
      </c>
      <c r="C151" s="4">
        <v>335600</v>
      </c>
      <c r="D151" s="4" t="s">
        <v>14</v>
      </c>
    </row>
  </sheetData>
  <sortState xmlns:xlrd2="http://schemas.microsoft.com/office/spreadsheetml/2017/richdata2" ref="A2:D151">
    <sortCondition ref="A1:A151"/>
  </sortState>
  <dataValidations count="1">
    <dataValidation type="list" allowBlank="1" showInputMessage="1" showErrorMessage="1" sqref="D2:D151" xr:uid="{018F7B6E-C10B-4A71-BCB4-5A00CEE6E3A0}">
      <formula1>CompanyDomain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B3C9-D0D8-447C-B58D-19DB81AB36C7}">
  <dimension ref="A1:P55"/>
  <sheetViews>
    <sheetView tabSelected="1" topLeftCell="B1" workbookViewId="0">
      <pane ySplit="2" topLeftCell="A54" activePane="bottomLeft" state="frozen"/>
      <selection pane="bottomLeft" activeCell="F72" sqref="F72"/>
    </sheetView>
  </sheetViews>
  <sheetFormatPr defaultRowHeight="14.4" x14ac:dyDescent="0.3"/>
  <cols>
    <col min="1" max="1" width="10.5546875" bestFit="1" customWidth="1"/>
    <col min="2" max="2" width="13.33203125" bestFit="1" customWidth="1"/>
    <col min="3" max="3" width="11.5546875" bestFit="1" customWidth="1"/>
    <col min="4" max="4" width="16.33203125" customWidth="1"/>
    <col min="5" max="5" width="3.33203125" customWidth="1"/>
    <col min="6" max="6" width="3" customWidth="1"/>
    <col min="7" max="7" width="10.5546875" bestFit="1" customWidth="1"/>
    <col min="9" max="9" width="12.6640625" bestFit="1" customWidth="1"/>
    <col min="10" max="10" width="14.33203125" customWidth="1"/>
    <col min="11" max="12" width="3.6640625" customWidth="1"/>
    <col min="13" max="13" width="10.5546875" bestFit="1" customWidth="1"/>
    <col min="15" max="15" width="12.6640625" bestFit="1" customWidth="1"/>
    <col min="16" max="16" width="15" customWidth="1"/>
  </cols>
  <sheetData>
    <row r="1" spans="1:16" x14ac:dyDescent="0.3">
      <c r="A1" s="11" t="s">
        <v>162</v>
      </c>
      <c r="B1" s="11"/>
      <c r="C1" s="11"/>
      <c r="D1" s="11"/>
      <c r="G1" s="12" t="s">
        <v>163</v>
      </c>
      <c r="H1" s="12"/>
      <c r="I1" s="12"/>
      <c r="J1" s="12"/>
      <c r="M1" s="13" t="s">
        <v>164</v>
      </c>
      <c r="N1" s="13"/>
      <c r="O1" s="13"/>
      <c r="P1" s="13"/>
    </row>
    <row r="2" spans="1:16" ht="42" x14ac:dyDescent="0.3">
      <c r="A2" s="5" t="s">
        <v>0</v>
      </c>
      <c r="B2" s="5" t="s">
        <v>1</v>
      </c>
      <c r="C2" s="5" t="s">
        <v>2</v>
      </c>
      <c r="D2" s="5" t="s">
        <v>3</v>
      </c>
      <c r="G2" s="6" t="s">
        <v>0</v>
      </c>
      <c r="H2" s="6" t="s">
        <v>1</v>
      </c>
      <c r="I2" s="6" t="s">
        <v>2</v>
      </c>
      <c r="J2" s="6" t="s">
        <v>3</v>
      </c>
      <c r="M2" s="7" t="s">
        <v>0</v>
      </c>
      <c r="N2" s="7" t="s">
        <v>1</v>
      </c>
      <c r="O2" s="7" t="s">
        <v>2</v>
      </c>
      <c r="P2" s="7" t="s">
        <v>3</v>
      </c>
    </row>
    <row r="3" spans="1:16" x14ac:dyDescent="0.3">
      <c r="A3" s="1" t="s">
        <v>7</v>
      </c>
      <c r="B3" s="1" t="s">
        <v>8</v>
      </c>
      <c r="C3" s="4">
        <v>390000</v>
      </c>
      <c r="D3" s="4" t="s">
        <v>9</v>
      </c>
      <c r="G3" s="1" t="s">
        <v>10</v>
      </c>
      <c r="H3" s="1" t="s">
        <v>11</v>
      </c>
      <c r="I3" s="4">
        <v>472300</v>
      </c>
      <c r="J3" s="4" t="s">
        <v>12</v>
      </c>
      <c r="M3" s="1" t="s">
        <v>4</v>
      </c>
      <c r="N3" s="1" t="s">
        <v>5</v>
      </c>
      <c r="O3" s="4">
        <v>398300</v>
      </c>
      <c r="P3" s="4" t="s">
        <v>6</v>
      </c>
    </row>
    <row r="4" spans="1:16" x14ac:dyDescent="0.3">
      <c r="A4" s="1" t="s">
        <v>15</v>
      </c>
      <c r="B4" s="1" t="s">
        <v>8</v>
      </c>
      <c r="C4" s="4">
        <v>395000</v>
      </c>
      <c r="D4" s="4" t="s">
        <v>6</v>
      </c>
      <c r="G4" s="1" t="s">
        <v>24</v>
      </c>
      <c r="H4" s="1" t="s">
        <v>11</v>
      </c>
      <c r="I4" s="4">
        <v>460000</v>
      </c>
      <c r="J4" s="4" t="s">
        <v>22</v>
      </c>
      <c r="M4" s="1" t="s">
        <v>13</v>
      </c>
      <c r="N4" s="1" t="s">
        <v>5</v>
      </c>
      <c r="O4" s="4">
        <v>502500</v>
      </c>
      <c r="P4" s="4" t="s">
        <v>14</v>
      </c>
    </row>
    <row r="5" spans="1:16" x14ac:dyDescent="0.3">
      <c r="A5" s="1" t="s">
        <v>16</v>
      </c>
      <c r="B5" s="1" t="s">
        <v>8</v>
      </c>
      <c r="C5" s="4">
        <v>431900</v>
      </c>
      <c r="D5" s="4" t="s">
        <v>9</v>
      </c>
      <c r="G5" s="1" t="s">
        <v>25</v>
      </c>
      <c r="H5" s="1" t="s">
        <v>11</v>
      </c>
      <c r="I5" s="4">
        <v>507300</v>
      </c>
      <c r="J5" s="4" t="s">
        <v>14</v>
      </c>
      <c r="M5" s="1" t="s">
        <v>19</v>
      </c>
      <c r="N5" s="1" t="s">
        <v>5</v>
      </c>
      <c r="O5" s="4">
        <v>774600</v>
      </c>
      <c r="P5" s="4" t="s">
        <v>9</v>
      </c>
    </row>
    <row r="6" spans="1:16" x14ac:dyDescent="0.3">
      <c r="A6" s="1" t="s">
        <v>17</v>
      </c>
      <c r="B6" s="1" t="s">
        <v>8</v>
      </c>
      <c r="C6" s="4">
        <v>464700</v>
      </c>
      <c r="D6" s="4" t="s">
        <v>6</v>
      </c>
      <c r="G6" s="1" t="s">
        <v>28</v>
      </c>
      <c r="H6" s="1" t="s">
        <v>11</v>
      </c>
      <c r="I6" s="4">
        <v>430000</v>
      </c>
      <c r="J6" s="4" t="s">
        <v>9</v>
      </c>
      <c r="M6" s="1" t="s">
        <v>20</v>
      </c>
      <c r="N6" s="1" t="s">
        <v>5</v>
      </c>
      <c r="O6" s="4">
        <v>1224400</v>
      </c>
      <c r="P6" s="4" t="s">
        <v>6</v>
      </c>
    </row>
    <row r="7" spans="1:16" x14ac:dyDescent="0.3">
      <c r="A7" s="1" t="s">
        <v>18</v>
      </c>
      <c r="B7" s="1" t="s">
        <v>8</v>
      </c>
      <c r="C7" s="4">
        <v>465000</v>
      </c>
      <c r="D7" s="4" t="s">
        <v>14</v>
      </c>
      <c r="G7" s="1" t="s">
        <v>29</v>
      </c>
      <c r="H7" s="1" t="s">
        <v>11</v>
      </c>
      <c r="I7" s="4">
        <v>450000</v>
      </c>
      <c r="J7" s="4" t="s">
        <v>6</v>
      </c>
      <c r="M7" s="1" t="s">
        <v>21</v>
      </c>
      <c r="N7" s="1" t="s">
        <v>5</v>
      </c>
      <c r="O7" s="4">
        <v>453500</v>
      </c>
      <c r="P7" s="4" t="s">
        <v>22</v>
      </c>
    </row>
    <row r="8" spans="1:16" x14ac:dyDescent="0.3">
      <c r="A8" s="1" t="s">
        <v>23</v>
      </c>
      <c r="B8" s="1" t="s">
        <v>8</v>
      </c>
      <c r="C8" s="4">
        <v>353700</v>
      </c>
      <c r="D8" s="4" t="s">
        <v>12</v>
      </c>
      <c r="G8" s="1" t="s">
        <v>30</v>
      </c>
      <c r="H8" s="1" t="s">
        <v>11</v>
      </c>
      <c r="I8" s="4">
        <v>420000</v>
      </c>
      <c r="J8" s="4" t="s">
        <v>12</v>
      </c>
      <c r="M8" s="1" t="s">
        <v>26</v>
      </c>
      <c r="N8" s="1" t="s">
        <v>5</v>
      </c>
      <c r="O8" s="4">
        <v>425000</v>
      </c>
      <c r="P8" s="4" t="s">
        <v>12</v>
      </c>
    </row>
    <row r="9" spans="1:16" x14ac:dyDescent="0.3">
      <c r="A9" s="1" t="s">
        <v>27</v>
      </c>
      <c r="B9" s="1" t="s">
        <v>8</v>
      </c>
      <c r="C9" s="4">
        <v>385000</v>
      </c>
      <c r="D9" s="4" t="s">
        <v>9</v>
      </c>
      <c r="G9" s="1" t="s">
        <v>33</v>
      </c>
      <c r="H9" s="1" t="s">
        <v>11</v>
      </c>
      <c r="I9" s="4">
        <v>378000</v>
      </c>
      <c r="J9" s="4" t="s">
        <v>22</v>
      </c>
      <c r="M9" s="1" t="s">
        <v>37</v>
      </c>
      <c r="N9" s="1" t="s">
        <v>5</v>
      </c>
      <c r="O9" s="4">
        <v>398500</v>
      </c>
      <c r="P9" s="4" t="s">
        <v>14</v>
      </c>
    </row>
    <row r="10" spans="1:16" x14ac:dyDescent="0.3">
      <c r="A10" s="1" t="s">
        <v>31</v>
      </c>
      <c r="B10" s="1" t="s">
        <v>8</v>
      </c>
      <c r="C10" s="4">
        <v>386000</v>
      </c>
      <c r="D10" s="4" t="s">
        <v>6</v>
      </c>
      <c r="G10" s="1" t="s">
        <v>34</v>
      </c>
      <c r="H10" s="1" t="s">
        <v>11</v>
      </c>
      <c r="I10" s="4">
        <v>363600</v>
      </c>
      <c r="J10" s="4" t="s">
        <v>14</v>
      </c>
      <c r="M10" s="1" t="s">
        <v>42</v>
      </c>
      <c r="N10" s="1" t="s">
        <v>5</v>
      </c>
      <c r="O10" s="4">
        <v>275000</v>
      </c>
      <c r="P10" s="4" t="s">
        <v>9</v>
      </c>
    </row>
    <row r="11" spans="1:16" x14ac:dyDescent="0.3">
      <c r="A11" s="1" t="s">
        <v>32</v>
      </c>
      <c r="B11" s="1" t="s">
        <v>8</v>
      </c>
      <c r="C11" s="4">
        <v>359000</v>
      </c>
      <c r="D11" s="4" t="s">
        <v>12</v>
      </c>
      <c r="G11" s="1" t="s">
        <v>35</v>
      </c>
      <c r="H11" s="1" t="s">
        <v>11</v>
      </c>
      <c r="I11" s="4">
        <v>400000</v>
      </c>
      <c r="J11" s="4" t="s">
        <v>14</v>
      </c>
      <c r="M11" s="1" t="s">
        <v>43</v>
      </c>
      <c r="N11" s="1" t="s">
        <v>5</v>
      </c>
      <c r="O11" s="4">
        <v>465000</v>
      </c>
      <c r="P11" s="4" t="s">
        <v>12</v>
      </c>
    </row>
    <row r="12" spans="1:16" x14ac:dyDescent="0.3">
      <c r="A12" s="1" t="s">
        <v>40</v>
      </c>
      <c r="B12" s="1" t="s">
        <v>8</v>
      </c>
      <c r="C12" s="4">
        <v>413800</v>
      </c>
      <c r="D12" s="4" t="s">
        <v>14</v>
      </c>
      <c r="G12" s="1" t="s">
        <v>36</v>
      </c>
      <c r="H12" s="1" t="s">
        <v>11</v>
      </c>
      <c r="I12" s="4">
        <v>462200</v>
      </c>
      <c r="J12" s="4" t="s">
        <v>14</v>
      </c>
      <c r="M12" s="1" t="s">
        <v>47</v>
      </c>
      <c r="N12" s="1" t="s">
        <v>5</v>
      </c>
      <c r="O12" s="4">
        <v>475000</v>
      </c>
      <c r="P12" s="4" t="s">
        <v>14</v>
      </c>
    </row>
    <row r="13" spans="1:16" x14ac:dyDescent="0.3">
      <c r="A13" s="1" t="s">
        <v>45</v>
      </c>
      <c r="B13" s="1" t="s">
        <v>8</v>
      </c>
      <c r="C13" s="4">
        <v>385000</v>
      </c>
      <c r="D13" s="4" t="s">
        <v>6</v>
      </c>
      <c r="G13" s="1" t="s">
        <v>38</v>
      </c>
      <c r="H13" s="1" t="s">
        <v>11</v>
      </c>
      <c r="I13" s="4">
        <v>491600</v>
      </c>
      <c r="J13" s="4" t="s">
        <v>12</v>
      </c>
      <c r="M13" s="1" t="s">
        <v>59</v>
      </c>
      <c r="N13" s="1" t="s">
        <v>5</v>
      </c>
      <c r="O13" s="4">
        <v>1175400</v>
      </c>
      <c r="P13" s="4" t="s">
        <v>9</v>
      </c>
    </row>
    <row r="14" spans="1:16" x14ac:dyDescent="0.3">
      <c r="A14" s="1" t="s">
        <v>46</v>
      </c>
      <c r="B14" s="1" t="s">
        <v>8</v>
      </c>
      <c r="C14" s="4">
        <v>411800</v>
      </c>
      <c r="D14" s="4" t="s">
        <v>12</v>
      </c>
      <c r="G14" s="1" t="s">
        <v>39</v>
      </c>
      <c r="H14" s="1" t="s">
        <v>11</v>
      </c>
      <c r="I14" s="4">
        <v>445000</v>
      </c>
      <c r="J14" s="4" t="s">
        <v>12</v>
      </c>
      <c r="M14" s="1" t="s">
        <v>64</v>
      </c>
      <c r="N14" s="1" t="s">
        <v>5</v>
      </c>
      <c r="O14" s="4">
        <v>424800</v>
      </c>
      <c r="P14" s="4" t="s">
        <v>6</v>
      </c>
    </row>
    <row r="15" spans="1:16" x14ac:dyDescent="0.3">
      <c r="A15" s="1" t="s">
        <v>49</v>
      </c>
      <c r="B15" s="1" t="s">
        <v>8</v>
      </c>
      <c r="C15" s="4">
        <v>403500</v>
      </c>
      <c r="D15" s="4" t="s">
        <v>12</v>
      </c>
      <c r="G15" s="1" t="s">
        <v>41</v>
      </c>
      <c r="H15" s="1" t="s">
        <v>11</v>
      </c>
      <c r="I15" s="4">
        <v>460300</v>
      </c>
      <c r="J15" s="4" t="s">
        <v>12</v>
      </c>
      <c r="M15" s="1" t="s">
        <v>65</v>
      </c>
      <c r="N15" s="1" t="s">
        <v>5</v>
      </c>
      <c r="O15" s="4">
        <v>425000</v>
      </c>
      <c r="P15" s="4" t="s">
        <v>12</v>
      </c>
    </row>
    <row r="16" spans="1:16" x14ac:dyDescent="0.3">
      <c r="A16" s="1" t="s">
        <v>50</v>
      </c>
      <c r="B16" s="1" t="s">
        <v>8</v>
      </c>
      <c r="C16" s="4">
        <v>385000</v>
      </c>
      <c r="D16" s="4" t="s">
        <v>6</v>
      </c>
      <c r="G16" s="1" t="s">
        <v>44</v>
      </c>
      <c r="H16" s="1" t="s">
        <v>11</v>
      </c>
      <c r="I16" s="4">
        <v>400500</v>
      </c>
      <c r="J16" s="4" t="s">
        <v>6</v>
      </c>
      <c r="M16" s="1" t="s">
        <v>72</v>
      </c>
      <c r="N16" s="1" t="s">
        <v>5</v>
      </c>
      <c r="O16" s="4">
        <v>445000</v>
      </c>
      <c r="P16" s="4" t="s">
        <v>6</v>
      </c>
    </row>
    <row r="17" spans="1:16" x14ac:dyDescent="0.3">
      <c r="A17" s="1" t="s">
        <v>51</v>
      </c>
      <c r="B17" s="1" t="s">
        <v>8</v>
      </c>
      <c r="C17" s="4">
        <v>391800</v>
      </c>
      <c r="D17" s="4" t="s">
        <v>14</v>
      </c>
      <c r="G17" s="1" t="s">
        <v>48</v>
      </c>
      <c r="H17" s="1" t="s">
        <v>11</v>
      </c>
      <c r="I17" s="4">
        <v>366900</v>
      </c>
      <c r="J17" s="4" t="s">
        <v>12</v>
      </c>
      <c r="M17" s="1" t="s">
        <v>75</v>
      </c>
      <c r="N17" s="1" t="s">
        <v>5</v>
      </c>
      <c r="O17" s="4">
        <v>455000</v>
      </c>
      <c r="P17" s="4" t="s">
        <v>9</v>
      </c>
    </row>
    <row r="18" spans="1:16" x14ac:dyDescent="0.3">
      <c r="A18" s="1" t="s">
        <v>53</v>
      </c>
      <c r="B18" s="1" t="s">
        <v>8</v>
      </c>
      <c r="C18" s="4">
        <v>341000</v>
      </c>
      <c r="D18" s="4" t="s">
        <v>14</v>
      </c>
      <c r="G18" s="1" t="s">
        <v>52</v>
      </c>
      <c r="H18" s="1" t="s">
        <v>11</v>
      </c>
      <c r="I18" s="4">
        <v>400000</v>
      </c>
      <c r="J18" s="4" t="s">
        <v>22</v>
      </c>
      <c r="M18" s="1" t="s">
        <v>81</v>
      </c>
      <c r="N18" s="1" t="s">
        <v>5</v>
      </c>
      <c r="O18" s="4">
        <v>427800</v>
      </c>
      <c r="P18" s="4" t="s">
        <v>22</v>
      </c>
    </row>
    <row r="19" spans="1:16" x14ac:dyDescent="0.3">
      <c r="A19" s="1" t="s">
        <v>55</v>
      </c>
      <c r="B19" s="1" t="s">
        <v>8</v>
      </c>
      <c r="C19" s="4">
        <v>345000</v>
      </c>
      <c r="D19" s="4" t="s">
        <v>12</v>
      </c>
      <c r="G19" s="1" t="s">
        <v>54</v>
      </c>
      <c r="H19" s="1" t="s">
        <v>11</v>
      </c>
      <c r="I19" s="4">
        <v>435500</v>
      </c>
      <c r="J19" s="4" t="s">
        <v>12</v>
      </c>
      <c r="M19" s="1" t="s">
        <v>83</v>
      </c>
      <c r="N19" s="1" t="s">
        <v>5</v>
      </c>
      <c r="O19" s="4">
        <v>517500</v>
      </c>
      <c r="P19" s="4" t="s">
        <v>12</v>
      </c>
    </row>
    <row r="20" spans="1:16" x14ac:dyDescent="0.3">
      <c r="A20" s="1" t="s">
        <v>58</v>
      </c>
      <c r="B20" s="1" t="s">
        <v>8</v>
      </c>
      <c r="C20" s="4">
        <v>392000</v>
      </c>
      <c r="D20" s="4" t="s">
        <v>9</v>
      </c>
      <c r="G20" s="1" t="s">
        <v>56</v>
      </c>
      <c r="H20" s="1" t="s">
        <v>11</v>
      </c>
      <c r="I20" s="4">
        <v>500600</v>
      </c>
      <c r="J20" s="4" t="s">
        <v>22</v>
      </c>
      <c r="M20" s="1" t="s">
        <v>88</v>
      </c>
      <c r="N20" s="1" t="s">
        <v>5</v>
      </c>
      <c r="O20" s="4">
        <v>395000</v>
      </c>
      <c r="P20" s="4" t="s">
        <v>14</v>
      </c>
    </row>
    <row r="21" spans="1:16" x14ac:dyDescent="0.3">
      <c r="A21" s="1" t="s">
        <v>60</v>
      </c>
      <c r="B21" s="1" t="s">
        <v>8</v>
      </c>
      <c r="C21" s="4">
        <v>342000</v>
      </c>
      <c r="D21" s="4" t="s">
        <v>22</v>
      </c>
      <c r="G21" s="1" t="s">
        <v>57</v>
      </c>
      <c r="H21" s="1" t="s">
        <v>11</v>
      </c>
      <c r="I21" s="4">
        <v>436500</v>
      </c>
      <c r="J21" s="4" t="s">
        <v>12</v>
      </c>
      <c r="M21" s="1" t="s">
        <v>90</v>
      </c>
      <c r="N21" s="1" t="s">
        <v>5</v>
      </c>
      <c r="O21" s="4">
        <v>475800</v>
      </c>
      <c r="P21" s="4" t="s">
        <v>6</v>
      </c>
    </row>
    <row r="22" spans="1:16" x14ac:dyDescent="0.3">
      <c r="A22" s="1" t="s">
        <v>63</v>
      </c>
      <c r="B22" s="1" t="s">
        <v>8</v>
      </c>
      <c r="C22" s="4">
        <v>385000</v>
      </c>
      <c r="D22" s="4" t="s">
        <v>22</v>
      </c>
      <c r="G22" s="1" t="s">
        <v>61</v>
      </c>
      <c r="H22" s="1" t="s">
        <v>11</v>
      </c>
      <c r="I22" s="4">
        <v>444500</v>
      </c>
      <c r="J22" s="4" t="s">
        <v>6</v>
      </c>
      <c r="M22" s="1" t="s">
        <v>91</v>
      </c>
      <c r="N22" s="1" t="s">
        <v>5</v>
      </c>
      <c r="O22" s="4">
        <v>555800</v>
      </c>
      <c r="P22" s="4" t="s">
        <v>9</v>
      </c>
    </row>
    <row r="23" spans="1:16" x14ac:dyDescent="0.3">
      <c r="A23" s="1" t="s">
        <v>67</v>
      </c>
      <c r="B23" s="1" t="s">
        <v>8</v>
      </c>
      <c r="C23" s="4">
        <v>406800</v>
      </c>
      <c r="D23" s="4" t="s">
        <v>14</v>
      </c>
      <c r="G23" s="1" t="s">
        <v>62</v>
      </c>
      <c r="H23" s="1" t="s">
        <v>11</v>
      </c>
      <c r="I23" s="4">
        <v>400000</v>
      </c>
      <c r="J23" s="4" t="s">
        <v>9</v>
      </c>
      <c r="M23" s="1" t="s">
        <v>93</v>
      </c>
      <c r="N23" s="1" t="s">
        <v>5</v>
      </c>
      <c r="O23" s="4">
        <v>339400</v>
      </c>
      <c r="P23" s="4" t="s">
        <v>12</v>
      </c>
    </row>
    <row r="24" spans="1:16" x14ac:dyDescent="0.3">
      <c r="A24" s="1" t="s">
        <v>68</v>
      </c>
      <c r="B24" s="1" t="s">
        <v>8</v>
      </c>
      <c r="C24" s="4">
        <v>424200</v>
      </c>
      <c r="D24" s="4" t="s">
        <v>14</v>
      </c>
      <c r="G24" s="1" t="s">
        <v>66</v>
      </c>
      <c r="H24" s="1" t="s">
        <v>11</v>
      </c>
      <c r="I24" s="4">
        <v>497900</v>
      </c>
      <c r="J24" s="4" t="s">
        <v>12</v>
      </c>
      <c r="M24" s="1" t="s">
        <v>98</v>
      </c>
      <c r="N24" s="1" t="s">
        <v>5</v>
      </c>
      <c r="O24" s="4">
        <v>485000</v>
      </c>
      <c r="P24" s="4" t="s">
        <v>14</v>
      </c>
    </row>
    <row r="25" spans="1:16" x14ac:dyDescent="0.3">
      <c r="A25" s="1" t="s">
        <v>69</v>
      </c>
      <c r="B25" s="1" t="s">
        <v>8</v>
      </c>
      <c r="C25" s="4">
        <v>346900</v>
      </c>
      <c r="D25" s="4" t="s">
        <v>12</v>
      </c>
      <c r="G25" s="1" t="s">
        <v>74</v>
      </c>
      <c r="H25" s="1" t="s">
        <v>11</v>
      </c>
      <c r="I25" s="4">
        <v>479600</v>
      </c>
      <c r="J25" s="4" t="s">
        <v>12</v>
      </c>
      <c r="M25" s="1" t="s">
        <v>100</v>
      </c>
      <c r="N25" s="1" t="s">
        <v>5</v>
      </c>
      <c r="O25" s="4">
        <v>1169500</v>
      </c>
      <c r="P25" s="4" t="s">
        <v>22</v>
      </c>
    </row>
    <row r="26" spans="1:16" x14ac:dyDescent="0.3">
      <c r="A26" s="1" t="s">
        <v>70</v>
      </c>
      <c r="B26" s="1" t="s">
        <v>8</v>
      </c>
      <c r="C26" s="4">
        <v>424100</v>
      </c>
      <c r="D26" s="4" t="s">
        <v>14</v>
      </c>
      <c r="G26" s="1" t="s">
        <v>76</v>
      </c>
      <c r="H26" s="1" t="s">
        <v>11</v>
      </c>
      <c r="I26" s="4">
        <v>417500</v>
      </c>
      <c r="J26" s="4" t="s">
        <v>22</v>
      </c>
      <c r="M26" s="1" t="s">
        <v>104</v>
      </c>
      <c r="N26" s="1" t="s">
        <v>5</v>
      </c>
      <c r="O26" s="4">
        <v>275000</v>
      </c>
      <c r="P26" s="4" t="s">
        <v>6</v>
      </c>
    </row>
    <row r="27" spans="1:16" x14ac:dyDescent="0.3">
      <c r="A27" s="1" t="s">
        <v>71</v>
      </c>
      <c r="B27" s="1" t="s">
        <v>8</v>
      </c>
      <c r="C27" s="4">
        <v>369500</v>
      </c>
      <c r="D27" s="4" t="s">
        <v>9</v>
      </c>
      <c r="G27" s="1" t="s">
        <v>80</v>
      </c>
      <c r="H27" s="1" t="s">
        <v>11</v>
      </c>
      <c r="I27" s="4">
        <v>451600</v>
      </c>
      <c r="J27" s="4" t="s">
        <v>14</v>
      </c>
      <c r="M27" s="1" t="s">
        <v>106</v>
      </c>
      <c r="N27" s="1" t="s">
        <v>5</v>
      </c>
      <c r="O27" s="4">
        <v>499100</v>
      </c>
      <c r="P27" s="4" t="s">
        <v>6</v>
      </c>
    </row>
    <row r="28" spans="1:16" x14ac:dyDescent="0.3">
      <c r="A28" s="1" t="s">
        <v>73</v>
      </c>
      <c r="B28" s="1" t="s">
        <v>8</v>
      </c>
      <c r="C28" s="4">
        <v>394400</v>
      </c>
      <c r="D28" s="4" t="s">
        <v>9</v>
      </c>
      <c r="G28" s="1" t="s">
        <v>82</v>
      </c>
      <c r="H28" s="1" t="s">
        <v>11</v>
      </c>
      <c r="I28" s="4">
        <v>396200</v>
      </c>
      <c r="J28" s="4" t="s">
        <v>22</v>
      </c>
      <c r="M28" s="1" t="s">
        <v>107</v>
      </c>
      <c r="N28" s="1" t="s">
        <v>5</v>
      </c>
      <c r="O28" s="4">
        <v>478000</v>
      </c>
      <c r="P28" s="4" t="s">
        <v>22</v>
      </c>
    </row>
    <row r="29" spans="1:16" x14ac:dyDescent="0.3">
      <c r="A29" s="1" t="s">
        <v>77</v>
      </c>
      <c r="B29" s="1" t="s">
        <v>8</v>
      </c>
      <c r="C29" s="4">
        <v>421700</v>
      </c>
      <c r="D29" s="4" t="s">
        <v>14</v>
      </c>
      <c r="G29" s="1" t="s">
        <v>84</v>
      </c>
      <c r="H29" s="1" t="s">
        <v>11</v>
      </c>
      <c r="I29" s="4">
        <v>573000</v>
      </c>
      <c r="J29" s="4" t="s">
        <v>14</v>
      </c>
      <c r="M29" s="1" t="s">
        <v>112</v>
      </c>
      <c r="N29" s="1" t="s">
        <v>5</v>
      </c>
      <c r="O29" s="4">
        <v>367900</v>
      </c>
      <c r="P29" s="4" t="s">
        <v>22</v>
      </c>
    </row>
    <row r="30" spans="1:16" x14ac:dyDescent="0.3">
      <c r="A30" s="1" t="s">
        <v>78</v>
      </c>
      <c r="B30" s="1" t="s">
        <v>8</v>
      </c>
      <c r="C30" s="4">
        <v>397500</v>
      </c>
      <c r="D30" s="4" t="s">
        <v>12</v>
      </c>
      <c r="G30" s="1" t="s">
        <v>85</v>
      </c>
      <c r="H30" s="1" t="s">
        <v>11</v>
      </c>
      <c r="I30" s="4">
        <v>400000</v>
      </c>
      <c r="J30" s="4" t="s">
        <v>6</v>
      </c>
      <c r="M30" s="1" t="s">
        <v>113</v>
      </c>
      <c r="N30" s="1" t="s">
        <v>5</v>
      </c>
      <c r="O30" s="4">
        <v>449100</v>
      </c>
      <c r="P30" s="4" t="s">
        <v>22</v>
      </c>
    </row>
    <row r="31" spans="1:16" x14ac:dyDescent="0.3">
      <c r="A31" s="1" t="s">
        <v>79</v>
      </c>
      <c r="B31" s="1" t="s">
        <v>8</v>
      </c>
      <c r="C31" s="4">
        <v>420000</v>
      </c>
      <c r="D31" s="4" t="s">
        <v>14</v>
      </c>
      <c r="G31" s="1" t="s">
        <v>94</v>
      </c>
      <c r="H31" s="1" t="s">
        <v>11</v>
      </c>
      <c r="I31" s="4">
        <v>378200</v>
      </c>
      <c r="J31" s="4" t="s">
        <v>9</v>
      </c>
      <c r="M31" s="1" t="s">
        <v>114</v>
      </c>
      <c r="N31" s="1" t="s">
        <v>5</v>
      </c>
      <c r="O31" s="4">
        <v>425000</v>
      </c>
      <c r="P31" s="4" t="s">
        <v>14</v>
      </c>
    </row>
    <row r="32" spans="1:16" x14ac:dyDescent="0.3">
      <c r="A32" s="1" t="s">
        <v>86</v>
      </c>
      <c r="B32" s="1" t="s">
        <v>8</v>
      </c>
      <c r="C32" s="4">
        <v>394500</v>
      </c>
      <c r="D32" s="4" t="s">
        <v>14</v>
      </c>
      <c r="G32" s="1" t="s">
        <v>95</v>
      </c>
      <c r="H32" s="1" t="s">
        <v>11</v>
      </c>
      <c r="I32" s="4">
        <v>405500</v>
      </c>
      <c r="J32" s="4" t="s">
        <v>6</v>
      </c>
      <c r="M32" s="1" t="s">
        <v>115</v>
      </c>
      <c r="N32" s="1" t="s">
        <v>5</v>
      </c>
      <c r="O32" s="4">
        <v>459000</v>
      </c>
      <c r="P32" s="4" t="s">
        <v>6</v>
      </c>
    </row>
    <row r="33" spans="1:16" x14ac:dyDescent="0.3">
      <c r="A33" s="1" t="s">
        <v>87</v>
      </c>
      <c r="B33" s="1" t="s">
        <v>8</v>
      </c>
      <c r="C33" s="4">
        <v>385000</v>
      </c>
      <c r="D33" s="4" t="s">
        <v>9</v>
      </c>
      <c r="G33" s="1" t="s">
        <v>96</v>
      </c>
      <c r="H33" s="1" t="s">
        <v>11</v>
      </c>
      <c r="I33" s="4">
        <v>340000</v>
      </c>
      <c r="J33" s="4" t="s">
        <v>14</v>
      </c>
      <c r="M33" s="1" t="s">
        <v>117</v>
      </c>
      <c r="N33" s="1" t="s">
        <v>5</v>
      </c>
      <c r="O33" s="4">
        <v>587700</v>
      </c>
      <c r="P33" s="4" t="s">
        <v>22</v>
      </c>
    </row>
    <row r="34" spans="1:16" x14ac:dyDescent="0.3">
      <c r="A34" s="1" t="s">
        <v>89</v>
      </c>
      <c r="B34" s="1" t="s">
        <v>8</v>
      </c>
      <c r="C34" s="4">
        <v>463000</v>
      </c>
      <c r="D34" s="4" t="s">
        <v>12</v>
      </c>
      <c r="G34" s="1" t="s">
        <v>101</v>
      </c>
      <c r="H34" s="1" t="s">
        <v>11</v>
      </c>
      <c r="I34" s="4">
        <v>390000</v>
      </c>
      <c r="J34" s="4" t="s">
        <v>12</v>
      </c>
      <c r="M34" s="1" t="s">
        <v>118</v>
      </c>
      <c r="N34" s="1" t="s">
        <v>5</v>
      </c>
      <c r="O34" s="4">
        <v>425000</v>
      </c>
      <c r="P34" s="4" t="s">
        <v>12</v>
      </c>
    </row>
    <row r="35" spans="1:16" x14ac:dyDescent="0.3">
      <c r="A35" s="1" t="s">
        <v>92</v>
      </c>
      <c r="B35" s="1" t="s">
        <v>8</v>
      </c>
      <c r="C35" s="4">
        <v>396900</v>
      </c>
      <c r="D35" s="4" t="s">
        <v>22</v>
      </c>
      <c r="G35" s="1" t="s">
        <v>102</v>
      </c>
      <c r="H35" s="1" t="s">
        <v>11</v>
      </c>
      <c r="I35" s="4">
        <v>392000</v>
      </c>
      <c r="J35" s="4" t="s">
        <v>9</v>
      </c>
      <c r="M35" s="1" t="s">
        <v>121</v>
      </c>
      <c r="N35" s="1" t="s">
        <v>5</v>
      </c>
      <c r="O35" s="4">
        <v>456000</v>
      </c>
      <c r="P35" s="4" t="s">
        <v>22</v>
      </c>
    </row>
    <row r="36" spans="1:16" x14ac:dyDescent="0.3">
      <c r="A36" s="1" t="s">
        <v>97</v>
      </c>
      <c r="B36" s="1" t="s">
        <v>8</v>
      </c>
      <c r="C36" s="4">
        <v>388000</v>
      </c>
      <c r="D36" s="4" t="s">
        <v>6</v>
      </c>
      <c r="G36" s="1" t="s">
        <v>110</v>
      </c>
      <c r="H36" s="1" t="s">
        <v>11</v>
      </c>
      <c r="I36" s="4">
        <v>380000</v>
      </c>
      <c r="J36" s="4" t="s">
        <v>9</v>
      </c>
      <c r="M36" s="1" t="s">
        <v>122</v>
      </c>
      <c r="N36" s="1" t="s">
        <v>5</v>
      </c>
      <c r="O36" s="4">
        <v>511700</v>
      </c>
      <c r="P36" s="4" t="s">
        <v>22</v>
      </c>
    </row>
    <row r="37" spans="1:16" x14ac:dyDescent="0.3">
      <c r="A37" s="1" t="s">
        <v>99</v>
      </c>
      <c r="B37" s="1" t="s">
        <v>8</v>
      </c>
      <c r="C37" s="4">
        <v>357500</v>
      </c>
      <c r="D37" s="4" t="s">
        <v>6</v>
      </c>
      <c r="G37" s="1" t="s">
        <v>111</v>
      </c>
      <c r="H37" s="1" t="s">
        <v>11</v>
      </c>
      <c r="I37" s="4">
        <v>586200</v>
      </c>
      <c r="J37" s="4" t="s">
        <v>9</v>
      </c>
      <c r="M37" s="1" t="s">
        <v>123</v>
      </c>
      <c r="N37" s="1" t="s">
        <v>5</v>
      </c>
      <c r="O37" s="4">
        <v>536300</v>
      </c>
      <c r="P37" s="4" t="s">
        <v>12</v>
      </c>
    </row>
    <row r="38" spans="1:16" x14ac:dyDescent="0.3">
      <c r="A38" s="1" t="s">
        <v>103</v>
      </c>
      <c r="B38" s="1" t="s">
        <v>8</v>
      </c>
      <c r="C38" s="4">
        <v>461700</v>
      </c>
      <c r="D38" s="4" t="s">
        <v>9</v>
      </c>
      <c r="G38" s="1" t="s">
        <v>116</v>
      </c>
      <c r="H38" s="1" t="s">
        <v>11</v>
      </c>
      <c r="I38" s="4">
        <v>400000</v>
      </c>
      <c r="J38" s="4" t="s">
        <v>9</v>
      </c>
      <c r="M38" s="1" t="s">
        <v>129</v>
      </c>
      <c r="N38" s="1" t="s">
        <v>5</v>
      </c>
      <c r="O38" s="4">
        <v>425000</v>
      </c>
      <c r="P38" s="4" t="s">
        <v>14</v>
      </c>
    </row>
    <row r="39" spans="1:16" x14ac:dyDescent="0.3">
      <c r="A39" s="1" t="s">
        <v>105</v>
      </c>
      <c r="B39" s="1" t="s">
        <v>8</v>
      </c>
      <c r="C39" s="4">
        <v>407800</v>
      </c>
      <c r="D39" s="4" t="s">
        <v>22</v>
      </c>
      <c r="G39" s="1" t="s">
        <v>125</v>
      </c>
      <c r="H39" s="1" t="s">
        <v>11</v>
      </c>
      <c r="I39" s="4">
        <v>422500</v>
      </c>
      <c r="J39" s="4" t="s">
        <v>12</v>
      </c>
      <c r="M39" s="1" t="s">
        <v>132</v>
      </c>
      <c r="N39" s="1" t="s">
        <v>5</v>
      </c>
      <c r="O39" s="4">
        <v>540100</v>
      </c>
      <c r="P39" s="4" t="s">
        <v>22</v>
      </c>
    </row>
    <row r="40" spans="1:16" x14ac:dyDescent="0.3">
      <c r="A40" s="1" t="s">
        <v>108</v>
      </c>
      <c r="B40" s="1" t="s">
        <v>8</v>
      </c>
      <c r="C40" s="4">
        <v>337200</v>
      </c>
      <c r="D40" s="4" t="s">
        <v>22</v>
      </c>
      <c r="G40" s="1" t="s">
        <v>127</v>
      </c>
      <c r="H40" s="1" t="s">
        <v>11</v>
      </c>
      <c r="I40" s="4">
        <v>370000</v>
      </c>
      <c r="J40" s="4" t="s">
        <v>9</v>
      </c>
      <c r="M40" s="1" t="s">
        <v>137</v>
      </c>
      <c r="N40" s="1" t="s">
        <v>5</v>
      </c>
      <c r="O40" s="4">
        <v>425000</v>
      </c>
      <c r="P40" s="4" t="s">
        <v>14</v>
      </c>
    </row>
    <row r="41" spans="1:16" x14ac:dyDescent="0.3">
      <c r="A41" s="1" t="s">
        <v>109</v>
      </c>
      <c r="B41" s="1" t="s">
        <v>8</v>
      </c>
      <c r="C41" s="4">
        <v>347600</v>
      </c>
      <c r="D41" s="4" t="s">
        <v>9</v>
      </c>
      <c r="G41" s="1" t="s">
        <v>128</v>
      </c>
      <c r="H41" s="1" t="s">
        <v>11</v>
      </c>
      <c r="I41" s="4">
        <v>400000</v>
      </c>
      <c r="J41" s="4" t="s">
        <v>14</v>
      </c>
      <c r="M41" s="1" t="s">
        <v>140</v>
      </c>
      <c r="N41" s="1" t="s">
        <v>5</v>
      </c>
      <c r="O41" s="4">
        <v>425000</v>
      </c>
      <c r="P41" s="4" t="s">
        <v>9</v>
      </c>
    </row>
    <row r="42" spans="1:16" x14ac:dyDescent="0.3">
      <c r="A42" s="1" t="s">
        <v>119</v>
      </c>
      <c r="B42" s="1" t="s">
        <v>8</v>
      </c>
      <c r="C42" s="4">
        <v>356500</v>
      </c>
      <c r="D42" s="4" t="s">
        <v>9</v>
      </c>
      <c r="G42" s="1" t="s">
        <v>133</v>
      </c>
      <c r="H42" s="1" t="s">
        <v>11</v>
      </c>
      <c r="I42" s="4">
        <v>400000</v>
      </c>
      <c r="J42" s="4" t="s">
        <v>14</v>
      </c>
      <c r="M42" s="1" t="s">
        <v>143</v>
      </c>
      <c r="N42" s="1" t="s">
        <v>5</v>
      </c>
      <c r="O42" s="4">
        <v>348000</v>
      </c>
      <c r="P42" s="4" t="s">
        <v>14</v>
      </c>
    </row>
    <row r="43" spans="1:16" x14ac:dyDescent="0.3">
      <c r="A43" s="1" t="s">
        <v>120</v>
      </c>
      <c r="B43" s="1" t="s">
        <v>8</v>
      </c>
      <c r="C43" s="4">
        <v>444400</v>
      </c>
      <c r="D43" s="4" t="s">
        <v>12</v>
      </c>
      <c r="G43" s="1" t="s">
        <v>135</v>
      </c>
      <c r="H43" s="1" t="s">
        <v>11</v>
      </c>
      <c r="I43" s="4">
        <v>485400</v>
      </c>
      <c r="J43" s="4" t="s">
        <v>9</v>
      </c>
      <c r="M43" s="1" t="s">
        <v>144</v>
      </c>
      <c r="N43" s="1" t="s">
        <v>5</v>
      </c>
      <c r="O43" s="4">
        <v>358900</v>
      </c>
      <c r="P43" s="4" t="s">
        <v>9</v>
      </c>
    </row>
    <row r="44" spans="1:16" x14ac:dyDescent="0.3">
      <c r="A44" s="1" t="s">
        <v>124</v>
      </c>
      <c r="B44" s="1" t="s">
        <v>8</v>
      </c>
      <c r="C44" s="4">
        <v>365400</v>
      </c>
      <c r="D44" s="4" t="s">
        <v>14</v>
      </c>
      <c r="G44" s="1" t="s">
        <v>136</v>
      </c>
      <c r="H44" s="1" t="s">
        <v>11</v>
      </c>
      <c r="I44" s="4">
        <v>395500</v>
      </c>
      <c r="J44" s="4" t="s">
        <v>14</v>
      </c>
      <c r="M44" s="1" t="s">
        <v>151</v>
      </c>
      <c r="N44" s="1" t="s">
        <v>5</v>
      </c>
      <c r="O44" s="4">
        <v>498300</v>
      </c>
      <c r="P44" s="4" t="s">
        <v>22</v>
      </c>
    </row>
    <row r="45" spans="1:16" x14ac:dyDescent="0.3">
      <c r="A45" s="1" t="s">
        <v>126</v>
      </c>
      <c r="B45" s="1" t="s">
        <v>8</v>
      </c>
      <c r="C45" s="4">
        <v>385000</v>
      </c>
      <c r="D45" s="4" t="s">
        <v>22</v>
      </c>
      <c r="G45" s="1" t="s">
        <v>138</v>
      </c>
      <c r="H45" s="1" t="s">
        <v>11</v>
      </c>
      <c r="I45" s="4">
        <v>427700</v>
      </c>
      <c r="J45" s="4" t="s">
        <v>14</v>
      </c>
      <c r="M45" s="1" t="s">
        <v>153</v>
      </c>
      <c r="N45" s="1" t="s">
        <v>5</v>
      </c>
      <c r="O45" s="4">
        <v>495000</v>
      </c>
      <c r="P45" s="4" t="s">
        <v>9</v>
      </c>
    </row>
    <row r="46" spans="1:16" x14ac:dyDescent="0.3">
      <c r="A46" s="1" t="s">
        <v>130</v>
      </c>
      <c r="B46" s="1" t="s">
        <v>8</v>
      </c>
      <c r="C46" s="4">
        <v>385000</v>
      </c>
      <c r="D46" s="4" t="s">
        <v>12</v>
      </c>
      <c r="G46" s="1" t="s">
        <v>142</v>
      </c>
      <c r="H46" s="1" t="s">
        <v>11</v>
      </c>
      <c r="I46" s="4">
        <v>399000</v>
      </c>
      <c r="J46" s="4" t="s">
        <v>14</v>
      </c>
      <c r="M46" s="1" t="s">
        <v>154</v>
      </c>
      <c r="N46" s="1" t="s">
        <v>5</v>
      </c>
      <c r="O46" s="4">
        <v>449500</v>
      </c>
      <c r="P46" s="4" t="s">
        <v>12</v>
      </c>
    </row>
    <row r="47" spans="1:16" x14ac:dyDescent="0.3">
      <c r="A47" s="1" t="s">
        <v>131</v>
      </c>
      <c r="B47" s="1" t="s">
        <v>8</v>
      </c>
      <c r="C47" s="4">
        <v>337800</v>
      </c>
      <c r="D47" s="4" t="s">
        <v>9</v>
      </c>
      <c r="G47" s="1" t="s">
        <v>146</v>
      </c>
      <c r="H47" s="1" t="s">
        <v>11</v>
      </c>
      <c r="I47" s="4">
        <v>461700</v>
      </c>
      <c r="J47" s="4" t="s">
        <v>6</v>
      </c>
      <c r="M47" s="1" t="s">
        <v>158</v>
      </c>
      <c r="N47" s="1" t="s">
        <v>5</v>
      </c>
      <c r="O47" s="4">
        <v>368300</v>
      </c>
      <c r="P47" s="4" t="s">
        <v>12</v>
      </c>
    </row>
    <row r="48" spans="1:16" x14ac:dyDescent="0.3">
      <c r="A48" s="1" t="s">
        <v>134</v>
      </c>
      <c r="B48" s="1" t="s">
        <v>8</v>
      </c>
      <c r="C48" s="4">
        <v>329600</v>
      </c>
      <c r="D48" s="4" t="s">
        <v>22</v>
      </c>
      <c r="G48" s="1" t="s">
        <v>147</v>
      </c>
      <c r="H48" s="1" t="s">
        <v>11</v>
      </c>
      <c r="I48" s="4">
        <v>394000</v>
      </c>
      <c r="J48" s="4" t="s">
        <v>22</v>
      </c>
      <c r="M48" s="1" t="s">
        <v>160</v>
      </c>
      <c r="N48" s="1" t="s">
        <v>5</v>
      </c>
      <c r="O48" s="4">
        <v>425000</v>
      </c>
      <c r="P48" s="4" t="s">
        <v>12</v>
      </c>
    </row>
    <row r="49" spans="1:10" x14ac:dyDescent="0.3">
      <c r="A49" s="1" t="s">
        <v>139</v>
      </c>
      <c r="B49" s="1" t="s">
        <v>8</v>
      </c>
      <c r="C49" s="4">
        <v>376600</v>
      </c>
      <c r="D49" s="4" t="s">
        <v>9</v>
      </c>
      <c r="G49" s="1" t="s">
        <v>148</v>
      </c>
      <c r="H49" s="1" t="s">
        <v>11</v>
      </c>
      <c r="I49" s="4">
        <v>474200</v>
      </c>
      <c r="J49" s="4" t="s">
        <v>9</v>
      </c>
    </row>
    <row r="50" spans="1:10" x14ac:dyDescent="0.3">
      <c r="A50" s="1" t="s">
        <v>141</v>
      </c>
      <c r="B50" s="1" t="s">
        <v>8</v>
      </c>
      <c r="C50" s="4">
        <v>329800</v>
      </c>
      <c r="D50" s="4" t="s">
        <v>6</v>
      </c>
      <c r="G50" s="1" t="s">
        <v>149</v>
      </c>
      <c r="H50" s="1" t="s">
        <v>11</v>
      </c>
      <c r="I50" s="4">
        <v>382500</v>
      </c>
      <c r="J50" s="4" t="s">
        <v>14</v>
      </c>
    </row>
    <row r="51" spans="1:10" x14ac:dyDescent="0.3">
      <c r="A51" s="1" t="s">
        <v>145</v>
      </c>
      <c r="B51" s="1" t="s">
        <v>8</v>
      </c>
      <c r="C51" s="4">
        <v>360500</v>
      </c>
      <c r="D51" s="4" t="s">
        <v>22</v>
      </c>
      <c r="G51" s="1" t="s">
        <v>152</v>
      </c>
      <c r="H51" s="1" t="s">
        <v>11</v>
      </c>
      <c r="I51" s="4">
        <v>400000</v>
      </c>
      <c r="J51" s="4" t="s">
        <v>12</v>
      </c>
    </row>
    <row r="52" spans="1:10" x14ac:dyDescent="0.3">
      <c r="A52" s="1" t="s">
        <v>150</v>
      </c>
      <c r="B52" s="1" t="s">
        <v>8</v>
      </c>
      <c r="C52" s="4">
        <v>400000</v>
      </c>
      <c r="D52" s="4" t="s">
        <v>22</v>
      </c>
      <c r="G52" s="1" t="s">
        <v>157</v>
      </c>
      <c r="H52" s="1" t="s">
        <v>11</v>
      </c>
      <c r="I52" s="4">
        <v>541500</v>
      </c>
      <c r="J52" s="4" t="s">
        <v>12</v>
      </c>
    </row>
    <row r="53" spans="1:10" x14ac:dyDescent="0.3">
      <c r="A53" s="1" t="s">
        <v>155</v>
      </c>
      <c r="B53" s="1" t="s">
        <v>8</v>
      </c>
      <c r="C53" s="4">
        <v>328500</v>
      </c>
      <c r="D53" s="4" t="s">
        <v>12</v>
      </c>
      <c r="G53" s="1" t="s">
        <v>159</v>
      </c>
      <c r="H53" s="1" t="s">
        <v>11</v>
      </c>
      <c r="I53" s="4">
        <v>346900</v>
      </c>
      <c r="J53" s="4" t="s">
        <v>6</v>
      </c>
    </row>
    <row r="54" spans="1:10" x14ac:dyDescent="0.3">
      <c r="A54" s="1" t="s">
        <v>156</v>
      </c>
      <c r="B54" s="1" t="s">
        <v>8</v>
      </c>
      <c r="C54" s="4">
        <v>429200</v>
      </c>
      <c r="D54" s="4" t="s">
        <v>6</v>
      </c>
    </row>
    <row r="55" spans="1:10" x14ac:dyDescent="0.3">
      <c r="A55" s="1" t="s">
        <v>161</v>
      </c>
      <c r="B55" s="1" t="s">
        <v>8</v>
      </c>
      <c r="C55" s="4">
        <v>335600</v>
      </c>
      <c r="D55" s="4" t="s">
        <v>14</v>
      </c>
    </row>
  </sheetData>
  <mergeCells count="3">
    <mergeCell ref="A1:D1"/>
    <mergeCell ref="G1:J1"/>
    <mergeCell ref="M1:P1"/>
  </mergeCells>
  <dataValidations count="1">
    <dataValidation type="list" allowBlank="1" showInputMessage="1" showErrorMessage="1" sqref="D3:D55 J3:J53 P3:P48" xr:uid="{20805F35-E73B-427E-9705-AF97204C1EFC}">
      <formula1>CompanyDomain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D913-7A71-410F-9B81-426C26F0100D}">
  <dimension ref="A1:F4"/>
  <sheetViews>
    <sheetView workbookViewId="0">
      <selection activeCell="F5" sqref="F5"/>
    </sheetView>
  </sheetViews>
  <sheetFormatPr defaultRowHeight="14.4" x14ac:dyDescent="0.3"/>
  <cols>
    <col min="1" max="1" width="23.33203125" customWidth="1"/>
    <col min="2" max="2" width="19.21875" customWidth="1"/>
    <col min="3" max="4" width="15.109375" customWidth="1"/>
    <col min="5" max="5" width="34.21875" customWidth="1"/>
    <col min="6" max="6" width="20.21875" customWidth="1"/>
  </cols>
  <sheetData>
    <row r="1" spans="1:6" ht="15.6" x14ac:dyDescent="0.3">
      <c r="A1" s="8" t="s">
        <v>1</v>
      </c>
      <c r="B1" s="9" t="s">
        <v>165</v>
      </c>
      <c r="C1" s="9" t="s">
        <v>166</v>
      </c>
      <c r="D1" s="9" t="s">
        <v>167</v>
      </c>
    </row>
    <row r="2" spans="1:6" ht="15.6" x14ac:dyDescent="0.3">
      <c r="A2" s="8" t="s">
        <v>5</v>
      </c>
      <c r="B2" s="10">
        <f>AVERAGE('To calc Median and Mode'!O3:O48)</f>
        <v>498058.69565217389</v>
      </c>
      <c r="C2" s="10">
        <f>MEDIAN('To calc Median and Mode'!O3:O48)</f>
        <v>451500</v>
      </c>
      <c r="D2" s="10">
        <f>MODE('To calc Median and Mode'!O3:O48)</f>
        <v>425000</v>
      </c>
      <c r="E2" t="s">
        <v>168</v>
      </c>
      <c r="F2" t="s">
        <v>169</v>
      </c>
    </row>
    <row r="3" spans="1:6" ht="15.6" x14ac:dyDescent="0.3">
      <c r="A3" s="8" t="s">
        <v>8</v>
      </c>
      <c r="B3" s="10">
        <f>AVERAGE('To calc Median and Mode'!C3:C55)</f>
        <v>387441.50943396229</v>
      </c>
      <c r="C3" s="10">
        <f>MEDIAN('To calc Median and Mode'!C3:C55)</f>
        <v>386000</v>
      </c>
      <c r="D3" s="10">
        <f>MODE('To calc Median and Mode'!C3:C55)</f>
        <v>385000</v>
      </c>
      <c r="E3" t="s">
        <v>170</v>
      </c>
    </row>
    <row r="4" spans="1:6" ht="15.6" x14ac:dyDescent="0.3">
      <c r="A4" s="8" t="s">
        <v>11</v>
      </c>
      <c r="B4" s="10">
        <f>AVERAGE('To calc Median and Mode'!I3:I53)</f>
        <v>429674.50980392157</v>
      </c>
      <c r="C4" s="10">
        <f>MEDIAN('To calc Median and Mode'!I3:I53)</f>
        <v>417500</v>
      </c>
      <c r="D4" s="10">
        <f>MODE('To calc Median and Mode'!I3:I53)</f>
        <v>400000</v>
      </c>
      <c r="E4" t="s">
        <v>168</v>
      </c>
      <c r="F4" t="s">
        <v>169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0F586D-A456-4330-8683-876C8775B2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DCFE5B-06FE-4BCF-BB64-2B1BD2AA2774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customXml/itemProps3.xml><?xml version="1.0" encoding="utf-8"?>
<ds:datastoreItem xmlns:ds="http://schemas.openxmlformats.org/officeDocument/2006/customXml" ds:itemID="{5659143F-35AF-4045-B4EF-2FDDE3857C1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0F4E230-DB76-4C99-BDD0-006271C910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Salary Data</vt:lpstr>
      <vt:lpstr>To calc Median and Mode</vt:lpstr>
      <vt:lpstr>Comparison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>Jiju</cp:lastModifiedBy>
  <cp:revision/>
  <dcterms:created xsi:type="dcterms:W3CDTF">2024-11-18T06:16:34Z</dcterms:created>
  <dcterms:modified xsi:type="dcterms:W3CDTF">2025-08-28T01:33:46Z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