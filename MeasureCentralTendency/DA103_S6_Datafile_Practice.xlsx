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ARN_NIIT\Gitcode\JijuDataAnalyticsCodes\MeasureCentralTendency\"/>
    </mc:Choice>
  </mc:AlternateContent>
  <xr:revisionPtr revIDLastSave="0" documentId="13_ncr:1_{5A6F416D-5B5D-44BF-A6A0-D1CA0D18B067}" xr6:coauthVersionLast="47" xr6:coauthVersionMax="47" xr10:uidLastSave="{00000000-0000-0000-0000-000000000000}"/>
  <bookViews>
    <workbookView xWindow="-108" yWindow="-108" windowWidth="23256" windowHeight="11964" activeTab="3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1'!$O$2:$P$367</definedName>
    <definedName name="_xlnm._FilterDatabase" localSheetId="2" hidden="1">'Task 2'!$O$2:$Q$190</definedName>
    <definedName name="_xlnm._FilterDatabase" localSheetId="3" hidden="1">'Task 3'!$R$1:$S$366</definedName>
    <definedName name="_xlchart.v1.0" hidden="1">'Task 1'!$O$1:$O$2</definedName>
    <definedName name="_xlchart.v1.1" hidden="1">'Task 1'!$O$3:$O$262</definedName>
    <definedName name="_xlchart.v1.10" hidden="1">'Task 3'!$R$2</definedName>
    <definedName name="_xlchart.v1.11" hidden="1">'Task 3'!$R$3:$R$353</definedName>
    <definedName name="_xlchart.v1.12" hidden="1">'Task 3'!$S$2</definedName>
    <definedName name="_xlchart.v1.13" hidden="1">'Task 3'!$S$3:$S$353</definedName>
    <definedName name="_xlchart.v1.2" hidden="1">'Task 1'!$P$1:$P$2</definedName>
    <definedName name="_xlchart.v1.3" hidden="1">'Task 1'!$P$3:$P$262</definedName>
    <definedName name="_xlchart.v1.4" hidden="1">'Task 2'!$O$2</definedName>
    <definedName name="_xlchart.v1.5" hidden="1">'Task 2'!$O$3:$O$190</definedName>
    <definedName name="_xlchart.v1.6" hidden="1">'Task 2'!$P$2</definedName>
    <definedName name="_xlchart.v1.7" hidden="1">'Task 2'!$P$3:$P$190</definedName>
    <definedName name="_xlchart.v1.8" hidden="1">'Task 2'!$Q$2</definedName>
    <definedName name="_xlchart.v1.9" hidden="1">'Task 2'!$Q$3:$Q$190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B5" i="4"/>
  <c r="C4" i="4"/>
  <c r="B4" i="4"/>
  <c r="C3" i="4"/>
  <c r="B3" i="4"/>
  <c r="D5" i="2"/>
  <c r="C5" i="2"/>
  <c r="B5" i="2"/>
  <c r="D4" i="2"/>
  <c r="C4" i="2"/>
  <c r="B4" i="2"/>
  <c r="D3" i="2"/>
  <c r="C3" i="2"/>
  <c r="B3" i="2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C5" i="3" l="1" a="1"/>
  <c r="C5" i="3" s="1"/>
  <c r="B5" i="3" a="1"/>
  <c r="B5" i="3" s="1"/>
  <c r="B3" i="3"/>
  <c r="C3" i="3"/>
  <c r="B4" i="3" a="1"/>
  <c r="B4" i="3" s="1"/>
  <c r="C4" i="3" a="1"/>
  <c r="C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<sst xmlns="http://schemas.openxmlformats.org/spreadsheetml/2006/main" count="1530" uniqueCount="55">
  <si>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</si>
  <si>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</si>
  <si>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</si>
  <si>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</si>
  <si>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</si>
  <si>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</si>
  <si>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</si>
  <si>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</si>
  <si>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</si>
  <si>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</si>
  <si>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</si>
  <si>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</si>
  <si>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</si>
  <si>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</si>
  <si>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</si>
  <si>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</si>
  <si>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</si>
  <si>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</si>
  <si>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</si>
  <si>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</si>
  <si>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</si>
  <si>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</si>
  <si>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</si>
  <si>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</si>
  <si>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</si>
  <si>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</si>
  <si>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</si>
  <si>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</si>
  <si>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</si>
  <si>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</si>
  <si>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</si>
  <si>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</si>
  <si>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</si>
  <si>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</si>
  <si>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</si>
  <si>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</si>
  <si>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Comparision</t>
  </si>
  <si>
    <t>Skewness</t>
  </si>
  <si>
    <t>Weekend</t>
  </si>
  <si>
    <t>Total Footfall</t>
  </si>
  <si>
    <t>Weekday</t>
  </si>
  <si>
    <t>Not Holiday</t>
  </si>
  <si>
    <t>Avg Duration of Stay (min)</t>
  </si>
  <si>
    <t>Movie Ticket Sold</t>
  </si>
  <si>
    <t>Comparison</t>
  </si>
  <si>
    <t>Mean&gt;Median&gt;Mode</t>
  </si>
  <si>
    <t>Mean&lt;Median&lt;Mode</t>
  </si>
  <si>
    <t>Right- skewed</t>
  </si>
  <si>
    <t>Mean&gt;Median&lt;mode</t>
  </si>
  <si>
    <t>Mean&lt;Median&gt;Mode</t>
  </si>
  <si>
    <t>Right skewness(+ve)</t>
  </si>
  <si>
    <t>lightly right skewness(+ve)</t>
  </si>
  <si>
    <t>left skewness(negative)</t>
  </si>
  <si>
    <t>Slightly right skewed</t>
  </si>
  <si>
    <t>Slightly Left skewed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</si>
</sst>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 &quot;₹&quot;\ * #,##0_ ;_ &quot;₹&quot;\ * \-#,##0_ ;_ &quot;₹&quot;\ * &quot;-&quot;??_ ;_ @_ 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4">
    <xf numFmtId="0" fontId="0" fillId="0" borderId="0" xfId="0"/>
    <xf numFmtId="166" fontId="0" fillId="0" borderId="0" xfId="2" applyNumberFormat="1" applyFont="1"/>
    <xf numFmtId="167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0" fillId="4" borderId="0" xfId="0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3" fontId="6" fillId="4" borderId="1" xfId="0" applyNumberFormat="1" applyFont="1" applyFill="1" applyBorder="1"/>
    <xf numFmtId="0" fontId="5" fillId="4" borderId="1" xfId="0" applyFont="1" applyFill="1" applyBorder="1"/>
    <xf numFmtId="3" fontId="6" fillId="3" borderId="1" xfId="0" applyNumberFormat="1" applyFont="1" applyFill="1" applyBorder="1"/>
    <xf numFmtId="3" fontId="6" fillId="2" borderId="1" xfId="0" applyNumberFormat="1" applyFont="1" applyFill="1" applyBorder="1"/>
    <xf numFmtId="3" fontId="6" fillId="2" borderId="1" xfId="0" applyNumberFormat="1" applyFont="1" applyFill="1" applyBorder="1" applyAlignment="1">
      <alignment wrapText="1"/>
    </xf>
    <xf numFmtId="3" fontId="5" fillId="2" borderId="1" xfId="0" applyNumberFormat="1" applyFont="1" applyFill="1" applyBorder="1"/>
    <xf numFmtId="0" fontId="0" fillId="3" borderId="0" xfId="0" applyFill="1"/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FFFFC9"/>
      <color rgb="FFB9FFE8"/>
      <color rgb="FFD5E3FF"/>
      <color rgb="FFFFC1FF"/>
      <color rgb="FFBDFFBD"/>
      <color rgb="FFFFC1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Distribution of Footfall in Weekdays and Weekend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Footfall in Weekdays and Weekend</a:t>
          </a:r>
        </a:p>
      </cx:txPr>
    </cx:title>
    <cx:plotArea>
      <cx:plotAreaRegion>
        <cx:series layoutId="boxWhisker" uniqueId="{135CE2E3-479C-4542-9B33-81553A4846C9}">
          <cx:tx>
            <cx:txData>
              <cx:f>_xlchart.v1.0</cx:f>
              <cx:v>Total Footfall Weekday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75EBCAF-14CB-4DD3-9713-E7D9B694DD16}">
          <cx:tx>
            <cx:txData>
              <cx:f>_xlchart.v1.2</cx:f>
              <cx:v>Weekend</cx:v>
            </cx:txData>
          </cx:tx>
          <cx:dataLabels pos="r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Footfall  in the  mall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Footfall  in the  mall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>
      <cx:tx>
        <cx:txData>
          <cx:v>Movie ticket sold acroos time slots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5">
                  <a:lumMod val="75000"/>
                </a:schemeClr>
              </a:solidFill>
              <a:latin typeface="Calibri"/>
            </a:rPr>
            <a:t>Movie ticket sold acroos time slots</a:t>
          </a:r>
        </a:p>
      </cx:txPr>
    </cx:title>
    <cx:plotArea>
      <cx:plotAreaRegion>
        <cx:series layoutId="boxWhisker" uniqueId="{FFA7AE8F-5E0F-42CA-A948-471826FF59B4}">
          <cx:tx>
            <cx:txData>
              <cx:f>_xlchart.v1.4</cx:f>
              <cx:v>Morning</cx:v>
            </cx:txData>
          </cx:tx>
          <cx:spPr>
            <a:solidFill>
              <a:srgbClr val="B9FFE8"/>
            </a:solidFill>
          </cx:spPr>
          <cx:dataLabels pos="b">
            <cx:numFmt formatCode="# 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accent6"/>
                    </a:solidFill>
                  </a:defRPr>
                </a:pPr>
                <a:endParaRPr lang="en-US" sz="900" b="0" i="0" u="none" strike="noStrike" baseline="0">
                  <a:solidFill>
                    <a:schemeClr val="accent6"/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EA6B810-771A-4F2F-B1FD-FEE4E7578617}">
          <cx:tx>
            <cx:txData>
              <cx:f>_xlchart.v1.6</cx:f>
              <cx:v>Afternoon</cx:v>
            </cx:txData>
          </cx:tx>
          <cx:spPr>
            <a:solidFill>
              <a:srgbClr val="D5E3FF"/>
            </a:solidFill>
          </cx:spPr>
          <cx:dataLabels pos="b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accent6"/>
                    </a:solidFill>
                  </a:defRPr>
                </a:pPr>
                <a:endParaRPr lang="en-US" sz="900" b="0" i="0" u="none" strike="noStrike" baseline="0">
                  <a:solidFill>
                    <a:schemeClr val="accent6"/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FE1562C-FA33-4480-998D-27541AFD54D9}">
          <cx:tx>
            <cx:txData>
              <cx:f>_xlchart.v1.8</cx:f>
              <cx:v>Evening</cx:v>
            </cx:txData>
          </cx:tx>
          <cx:spPr>
            <a:solidFill>
              <a:srgbClr val="FFFFC9"/>
            </a:solidFill>
          </cx:spPr>
          <cx:dataLabels pos="b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accent6"/>
                    </a:solidFill>
                  </a:defRPr>
                </a:pPr>
                <a:endParaRPr lang="en-US" sz="900" b="0" i="0" u="none" strike="noStrike" baseline="0">
                  <a:solidFill>
                    <a:schemeClr val="accent6"/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Number of ticket sold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chemeClr val="accent6">
                      <a:lumMod val="75000"/>
                    </a:schemeClr>
                  </a:solidFill>
                  <a:latin typeface="Calibri"/>
                </a:rPr>
                <a:t>Number of ticket sold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>
      <cx:tx>
        <cx:txData>
          <cx:v>Stay duration on holiday vs non holiday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2">
                  <a:lumMod val="75000"/>
                </a:schemeClr>
              </a:solidFill>
              <a:latin typeface="Calibri"/>
            </a:rPr>
            <a:t>Stay duration on holiday vs non holiday</a:t>
          </a:r>
        </a:p>
      </cx:txPr>
    </cx:title>
    <cx:plotArea>
      <cx:plotAreaRegion>
        <cx:series layoutId="boxWhisker" uniqueId="{7EE24172-81C8-4732-A204-E2FCBA2D29D5}">
          <cx:tx>
            <cx:txData>
              <cx:f>_xlchart.v1.10</cx:f>
              <cx:v>Not Holiday</cx:v>
            </cx:txData>
          </cx:tx>
          <cx:spPr>
            <a:solidFill>
              <a:srgbClr val="B9FFE8"/>
            </a:solidFill>
          </cx:spPr>
          <cx:dataLabels pos="b">
            <cx:numFmt formatCode="# 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accent6"/>
                    </a:solidFill>
                  </a:defRPr>
                </a:pPr>
                <a:endParaRPr lang="en-US" sz="900" b="0" i="0" u="none" strike="noStrike" baseline="0">
                  <a:solidFill>
                    <a:schemeClr val="accent6"/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1BC2683-658A-4D9E-9538-1D4ED19670DE}">
          <cx:tx>
            <cx:txData>
              <cx:f>_xlchart.v1.12</cx:f>
              <cx:v>Holiday</cx:v>
            </cx:txData>
          </cx:tx>
          <cx:spPr>
            <a:solidFill>
              <a:srgbClr val="FFFFC9"/>
            </a:solidFill>
          </cx:spPr>
          <cx:dataLabels pos="b">
            <cx:numFmt formatCode="# 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accent6"/>
                    </a:solidFill>
                  </a:defRPr>
                </a:pPr>
                <a:endParaRPr lang="en-US" sz="900" b="0" i="0" u="none" strike="noStrike" baseline="0">
                  <a:solidFill>
                    <a:schemeClr val="accent6"/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10" b="1" i="0" u="none" strike="noStrike" baseline="0">
                    <a:solidFill>
                      <a:schemeClr val="accent6"/>
                    </a:solidFill>
                    <a:latin typeface="Calibri"/>
                  </a:rPr>
                  <a:t>Avg Duration of Stay (mins</a:t>
                </a:r>
                <a:r>
                  <a:rPr lang="en-US" sz="101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)</a:t>
                </a:r>
              </a:p>
            </cx:rich>
          </cx:tx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0</xdr:row>
      <xdr:rowOff>30480</xdr:rowOff>
    </xdr:from>
    <xdr:ext cx="5806440" cy="25298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5059680" y="30480"/>
          <a:ext cx="5806440" cy="25298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Analyze Footfall Trends by Day Type</a:t>
          </a:r>
        </a:p>
        <a:p>
          <a:r>
            <a:rPr lang="en-IN" sz="1400" b="0"/>
            <a:t> 1.1  Analyze the mean, median, and mode of total footfall for weekdays and weekends.</a:t>
          </a:r>
        </a:p>
        <a:p>
          <a:r>
            <a:rPr lang="en-IN" sz="1400" b="0"/>
            <a:t>1.2  Visualize the distribution of the data using boxplots and compare the measures of central tendency to assess any skew toward either day type.</a:t>
          </a:r>
        </a:p>
        <a:p>
          <a:endParaRPr lang="en-IN" sz="1400" b="0"/>
        </a:p>
        <a:p>
          <a:r>
            <a:rPr lang="en-IN" sz="1400" b="0"/>
            <a:t>*** Filter Total Footfall column data based on Day types and fill in the O and P</a:t>
          </a:r>
          <a:r>
            <a:rPr lang="en-IN" sz="1400" b="0" baseline="0"/>
            <a:t> </a:t>
          </a:r>
          <a:r>
            <a:rPr lang="en-IN" sz="1400" b="0"/>
            <a:t>columns. Use this filtered data for calculation.</a:t>
          </a:r>
        </a:p>
        <a:p>
          <a:r>
            <a:rPr lang="en-IN" sz="1400" b="0"/>
            <a:t>*** Draw boxplots to visualiza data distribution.</a:t>
          </a:r>
        </a:p>
        <a:p>
          <a:r>
            <a:rPr lang="en-IN" sz="1400" b="0"/>
            <a:t>*** Compare mean, median and mode and use the boxplots to evaluate data skewness.</a:t>
          </a:r>
        </a:p>
        <a:p>
          <a:endParaRPr lang="en-IN" sz="1400" b="0"/>
        </a:p>
        <a:p>
          <a:endParaRPr lang="en-IN" b="0"/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3</xdr:col>
      <xdr:colOff>160020</xdr:colOff>
      <xdr:row>13</xdr:row>
      <xdr:rowOff>121920</xdr:rowOff>
    </xdr:from>
    <xdr:to>
      <xdr:col>13</xdr:col>
      <xdr:colOff>289560</xdr:colOff>
      <xdr:row>35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4686300" y="2606040"/>
          <a:ext cx="6225540" cy="401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1. Median Footfall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Weekday median ≈ 14040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median ≈ 28345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Footfall on weekends is about double that of weekdays.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2.Mean Footfall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Weekday mean ≈ 14964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mean ≈ 28018 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     Footfall on weekends is about double that of weekdays.Both means are close to their medians so distributions are   fairly balanced, but weekend has a slightly higher spread.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3.Spread/Variability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Weekdays IQR:Q1-Q3(11284-17337)=6053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IQR::Q1-Q3(23815-31576)=7761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footfall is more variable compared to weekdays.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4.Range(Whiskers)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Weekday range:`~8031(min) to ~24187(max)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range:`~20031(min) to ~40986(max)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Weekend range is much wider indicatiing larger fluctuation in footfall.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5.Outliers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Weekdays shows more outliers indicating footfall not perfectly normal(skewed)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Weekend shows no outliers which indicate no skewnes.</a:t>
          </a:r>
        </a:p>
        <a:p>
          <a:endParaRPr lang="en-IN" sz="1100" b="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551058</xdr:colOff>
      <xdr:row>16</xdr:row>
      <xdr:rowOff>126816</xdr:rowOff>
    </xdr:from>
    <xdr:to>
      <xdr:col>2</xdr:col>
      <xdr:colOff>358298</xdr:colOff>
      <xdr:row>18</xdr:row>
      <xdr:rowOff>12516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F70628-057E-FCAB-56A3-E34B26686641}"/>
            </a:ext>
          </a:extLst>
        </xdr:cNvPr>
        <xdr:cNvSpPr txBox="1"/>
      </xdr:nvSpPr>
      <xdr:spPr>
        <a:xfrm rot="19821034">
          <a:off x="1427358" y="3159576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9</xdr:row>
      <xdr:rowOff>167640</xdr:rowOff>
    </xdr:from>
    <xdr:to>
      <xdr:col>3</xdr:col>
      <xdr:colOff>45720</xdr:colOff>
      <xdr:row>52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1C789BB-B995-2AC4-5BA3-05A687F5D9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20240"/>
              <a:ext cx="4572000" cy="7719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0</xdr:row>
      <xdr:rowOff>76200</xdr:rowOff>
    </xdr:from>
    <xdr:ext cx="5494020" cy="2705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5105400" y="76200"/>
          <a:ext cx="5494020" cy="2705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Analyze Movie Ticket Sold Across Time Slots</a:t>
          </a:r>
        </a:p>
        <a:p>
          <a:r>
            <a:rPr lang="en-IN" sz="1400" b="1"/>
            <a:t> </a:t>
          </a:r>
          <a:r>
            <a:rPr lang="en-IN" sz="1400" b="0"/>
            <a:t>2.1  Calculate the mean, median, and mode for movie ticket sold during different peak time slots (morning, afternoon, evening). </a:t>
          </a:r>
        </a:p>
        <a:p>
          <a:r>
            <a:rPr lang="en-IN" sz="1400" b="0"/>
            <a:t>2.2  Visualize the distribution of the data using boxplots and compare the measures of central tendency to analyze skewness from the distribution of sold tickets throughout the day.</a:t>
          </a:r>
        </a:p>
        <a:p>
          <a:endParaRPr lang="en-IN" sz="1400" b="1"/>
        </a:p>
        <a:p>
          <a:r>
            <a:rPr lang="en-IN" sz="1400" b="0"/>
            <a:t>*** Filter Movie Ticket Sold column data based on Peak Time Slot types and fill in the O, P and Q column. Use this filtered data for calculation.</a:t>
          </a:r>
        </a:p>
        <a:p>
          <a:r>
            <a:rPr lang="en-IN" sz="1400" b="0"/>
            <a:t>*** Draw boxplots to visualiza data distribution.</a:t>
          </a:r>
        </a:p>
        <a:p>
          <a:r>
            <a:rPr lang="en-IN" sz="1400" b="0"/>
            <a:t>*** Compare mean, median and mode and use the boxplots to evaluate data skewness.</a:t>
          </a:r>
        </a:p>
        <a:p>
          <a:endParaRPr lang="en-IN" b="0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4</xdr:col>
      <xdr:colOff>60960</xdr:colOff>
      <xdr:row>15</xdr:row>
      <xdr:rowOff>22860</xdr:rowOff>
    </xdr:from>
    <xdr:to>
      <xdr:col>14</xdr:col>
      <xdr:colOff>0</xdr:colOff>
      <xdr:row>44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6324600" y="2872740"/>
          <a:ext cx="5669280" cy="545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1. Median Ticket sold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Morning median ≈ 2121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Afternoon median ≈ 2102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Evening median≈ 2438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Ticket sold on Evening is much higher than morning and afternon.Morning median and evening median is almost close.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2.Mean number of Ticket sold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Morning Mean ≈ 2126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Afternoon Mean ≈ 2182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     Evening Mean ≈ 2307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     Ticket sold Evening is higher than compared to morning and afternon.Morning and Afternon means are close to their medians → distributions are fairly balanced, but Evening has a slightly higher spread.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3.Spread/Variability of number of Ticket sold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Morning IQR:Q1-Q3(1228-3082)=1854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Afternoon IQR::Q1-Q3(1497.25-2797.25)=1300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     Evening IQR::Q1-Q3(1455-3118.25)=1663.25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Ticket sold on Morning is more variable compared to Afternoon and Afternoon.Afternoon shows most stable sales.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4.Range(Whiskers) of number of Ticket sold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Morning range:`~506.(min) to ~3954(max)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Afternoon range:`~512(min) to ~3996(max)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Evening range:`~502(min) to ~3979(max)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All time slots have wide ranges (500–4,000), showing some extreme highs and lows.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5.Consistency: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Afternoon has the smallest variability (tight box), so it’s the most predictable time slot.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Morning has the largest spread, meaning highly fluctuating sales.</a:t>
          </a:r>
        </a:p>
        <a:p>
          <a:endParaRPr lang="en-IN" sz="1100" b="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769619</xdr:colOff>
      <xdr:row>16</xdr:row>
      <xdr:rowOff>114301</xdr:rowOff>
    </xdr:from>
    <xdr:to>
      <xdr:col>2</xdr:col>
      <xdr:colOff>835939</xdr:colOff>
      <xdr:row>18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3E8C2A-0B35-4A63-8AF8-AA13A8532CF4}"/>
            </a:ext>
          </a:extLst>
        </xdr:cNvPr>
        <xdr:cNvSpPr txBox="1"/>
      </xdr:nvSpPr>
      <xdr:spPr>
        <a:xfrm rot="19821034">
          <a:off x="1607819" y="3147061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601980</xdr:colOff>
      <xdr:row>7</xdr:row>
      <xdr:rowOff>160020</xdr:rowOff>
    </xdr:from>
    <xdr:to>
      <xdr:col>4</xdr:col>
      <xdr:colOff>106680</xdr:colOff>
      <xdr:row>44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5155DCF-27D9-A3D6-B636-53A70AE554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" y="1546860"/>
              <a:ext cx="5768340" cy="6774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160020</xdr:colOff>
      <xdr:row>0</xdr:row>
      <xdr:rowOff>53340</xdr:rowOff>
    </xdr:from>
    <xdr:ext cx="7940040" cy="240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3916680" y="53340"/>
          <a:ext cx="7940040" cy="2400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Analyze Stay Duration on Holidays vs Non-Holidays </a:t>
          </a:r>
        </a:p>
        <a:p>
          <a:r>
            <a:rPr lang="en-IN" sz="1400" b="0"/>
            <a:t>3.1  Compute the mean, median, and mode for the average duration of stay during holidays and non-holidays. </a:t>
          </a:r>
        </a:p>
        <a:p>
          <a:r>
            <a:rPr lang="en-IN" sz="1400" b="0"/>
            <a:t>3.2 Visualize the distribution of the data using boxplots and compare the measures of central tendency to investigate skewness to understand if the duration varies significantly between these two conditions.</a:t>
          </a:r>
        </a:p>
        <a:p>
          <a:endParaRPr lang="en-IN" sz="1400" b="0"/>
        </a:p>
        <a:p>
          <a:r>
            <a:rPr lang="en-IN" sz="1400" b="0"/>
            <a:t>*** Filter</a:t>
          </a:r>
          <a:r>
            <a:rPr lang="en-IN" sz="1400" b="0" baseline="0"/>
            <a:t> Avg Stay Duration column data based on Holiday types and fill in the R and S columns. Use this filtered data for calculation.</a:t>
          </a:r>
        </a:p>
        <a:p>
          <a:r>
            <a:rPr lang="en-IN" sz="1400" b="0" baseline="0"/>
            <a:t>*** Draw boxplots to visualiza data distribution.</a:t>
          </a:r>
        </a:p>
        <a:p>
          <a:r>
            <a:rPr lang="en-IN" sz="1400" b="0" baseline="0"/>
            <a:t>*** Compare mean, median and mode and use the boxplots to evaluate data skewness.</a:t>
          </a:r>
          <a:endParaRPr lang="en-IN" sz="1400" b="0"/>
        </a:p>
        <a:p>
          <a:endParaRPr lang="en-IN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3</xdr:col>
      <xdr:colOff>68580</xdr:colOff>
      <xdr:row>13</xdr:row>
      <xdr:rowOff>144780</xdr:rowOff>
    </xdr:from>
    <xdr:to>
      <xdr:col>16</xdr:col>
      <xdr:colOff>160020</xdr:colOff>
      <xdr:row>34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3825240" y="2628900"/>
          <a:ext cx="8016240" cy="385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1.Median Avg Duration of Stay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Not Holiday median ≈ 154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Holiday median ≈ 225.5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Avg Duration of stay on holiday is much higher than Not Holiday.People tend to stay longer on holidays.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2.Mean Avg Duration of Stay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Not Holiday Mean ≈ 154.57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Holiday Mean ≈ 206.36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     Avg Duration of stay in Holday is higher than compared to Not Holiday.Non-holiday: Mean (154.57 mins) ≈ Median (154 mins) → data is fairly symmetric.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3.Spread/Variability of Avg Duration of Stay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Not Holiday IQR:Q1-Q3(112-200)=88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Holiday IQR::Q1-Q3(172-234)=62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Stay duration is more consistent on holidays (smaller spread).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4.Range(Whiskers) of Avg Duration of Stay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Not Holiday range:`~60.(min) to ~295(max)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Holiday range:`~108(min) to ~279(max)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	Not Holiday Duration of Stay (60–295), showing some extreme highs and lows can be interpreted as wider variability in stay duration.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5.Outliers: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  None clearly marked shows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that</a:t>
          </a:r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 distributions are within expected ranges.</a:t>
          </a:r>
        </a:p>
      </xdr:txBody>
    </xdr:sp>
    <xdr:clientData/>
  </xdr:twoCellAnchor>
  <xdr:twoCellAnchor>
    <xdr:from>
      <xdr:col>1</xdr:col>
      <xdr:colOff>251460</xdr:colOff>
      <xdr:row>14</xdr:row>
      <xdr:rowOff>83820</xdr:rowOff>
    </xdr:from>
    <xdr:to>
      <xdr:col>2</xdr:col>
      <xdr:colOff>165380</xdr:colOff>
      <xdr:row>15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670CFD-D3CF-4DF2-8DFD-2C08B2260176}"/>
            </a:ext>
          </a:extLst>
        </xdr:cNvPr>
        <xdr:cNvSpPr txBox="1"/>
      </xdr:nvSpPr>
      <xdr:spPr>
        <a:xfrm rot="19821034">
          <a:off x="1127760" y="2750820"/>
          <a:ext cx="1369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kern="1200">
              <a:latin typeface="Arial" panose="020B0604020202020204" pitchFamily="34" charset="0"/>
              <a:cs typeface="Arial" panose="020B0604020202020204" pitchFamily="34" charset="0"/>
            </a:rPr>
            <a:t>Draw chart here</a:t>
          </a:r>
        </a:p>
      </xdr:txBody>
    </xdr:sp>
    <xdr:clientData/>
  </xdr:twoCellAnchor>
  <xdr:twoCellAnchor>
    <xdr:from>
      <xdr:col>0</xdr:col>
      <xdr:colOff>0</xdr:colOff>
      <xdr:row>8</xdr:row>
      <xdr:rowOff>129540</xdr:rowOff>
    </xdr:from>
    <xdr:to>
      <xdr:col>2</xdr:col>
      <xdr:colOff>3413760</xdr:colOff>
      <xdr:row>42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81631D8-91E7-4F0D-12AB-F1FBF23005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9260"/>
              <a:ext cx="6591300" cy="624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6"/>
  <sheetViews>
    <sheetView topLeftCell="B1" workbookViewId="0">
      <selection activeCell="S1" sqref="S1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idden="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hidden="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hidden="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hidden="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hidden="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hidden="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hidden="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hidden="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hidden="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hidden="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hidden="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hidden="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hidden="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hidden="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autoFilter ref="A1:U366" xr:uid="{00000000-0001-0000-0000-000000000000}">
    <filterColumn colId="3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P262"/>
  <sheetViews>
    <sheetView topLeftCell="A18" workbookViewId="0">
      <selection activeCell="L46" sqref="L46"/>
    </sheetView>
  </sheetViews>
  <sheetFormatPr defaultRowHeight="14.4" x14ac:dyDescent="0.3"/>
  <cols>
    <col min="1" max="1" width="12.77734375" bestFit="1" customWidth="1"/>
    <col min="2" max="2" width="22.77734375" customWidth="1"/>
    <col min="3" max="3" width="30.44140625" customWidth="1"/>
    <col min="14" max="14" width="4.5546875" customWidth="1"/>
    <col min="15" max="15" width="20.88671875" customWidth="1"/>
    <col min="16" max="16" width="16.5546875" customWidth="1"/>
  </cols>
  <sheetData>
    <row r="1" spans="1:16" ht="15.6" x14ac:dyDescent="0.3">
      <c r="A1" s="7"/>
      <c r="B1" s="27" t="s">
        <v>39</v>
      </c>
      <c r="C1" s="27"/>
      <c r="O1" s="28" t="s">
        <v>39</v>
      </c>
      <c r="P1" s="28"/>
    </row>
    <row r="2" spans="1:16" ht="15.6" x14ac:dyDescent="0.3">
      <c r="A2" s="7"/>
      <c r="B2" s="18" t="s">
        <v>40</v>
      </c>
      <c r="C2" s="18" t="s">
        <v>38</v>
      </c>
      <c r="O2" s="6" t="s">
        <v>40</v>
      </c>
      <c r="P2" s="6" t="s">
        <v>38</v>
      </c>
    </row>
    <row r="3" spans="1:16" ht="15.6" x14ac:dyDescent="0.3">
      <c r="A3" s="8" t="s">
        <v>29</v>
      </c>
      <c r="B3" s="23">
        <f>AVERAGEIF('Mall Data'!B:B,"Weekday",'Mall Data'!E:E)</f>
        <v>14964.488461538462</v>
      </c>
      <c r="C3" s="23">
        <f>AVERAGEIF('Mall Data'!B:B,"Weekend",'Mall Data'!E:E)</f>
        <v>28018.323809523808</v>
      </c>
      <c r="O3" s="2">
        <v>14593</v>
      </c>
      <c r="P3" s="2">
        <v>25459</v>
      </c>
    </row>
    <row r="4" spans="1:16" ht="15.6" x14ac:dyDescent="0.3">
      <c r="A4" s="8" t="s">
        <v>30</v>
      </c>
      <c r="B4" s="23" cm="1">
        <f t="array" ref="B4">MEDIAN(IF('Mall Data'!B:B="Weekday",'Mall Data'!E:E))</f>
        <v>14039.5</v>
      </c>
      <c r="C4" s="23" cm="1">
        <f t="array" ref="C4">MEDIAN(IF('Mall Data'!B:B="Weekend",'Mall Data'!E:E))</f>
        <v>28345</v>
      </c>
      <c r="O4" s="2">
        <v>17912</v>
      </c>
      <c r="P4" s="2">
        <v>40986</v>
      </c>
    </row>
    <row r="5" spans="1:16" ht="15.6" x14ac:dyDescent="0.3">
      <c r="A5" s="8" t="s">
        <v>31</v>
      </c>
      <c r="B5" s="23" cm="1">
        <f t="array" ref="B5">MODE(IF('Mall Data'!B:B="Weekday",'Mall Data'!E:E))</f>
        <v>13500</v>
      </c>
      <c r="C5" s="23" cm="1">
        <f t="array" ref="C5">MODE(IF('Mall Data'!B:B="Weekend",'Mall Data'!E:E))</f>
        <v>33673</v>
      </c>
      <c r="O5" s="2">
        <v>15301</v>
      </c>
      <c r="P5" s="2">
        <v>24064</v>
      </c>
    </row>
    <row r="6" spans="1:16" ht="15.6" x14ac:dyDescent="0.3">
      <c r="A6" s="8" t="s">
        <v>36</v>
      </c>
      <c r="B6" s="24" t="s">
        <v>45</v>
      </c>
      <c r="C6" s="24" t="s">
        <v>46</v>
      </c>
      <c r="O6" s="2">
        <v>18676</v>
      </c>
      <c r="P6" s="2">
        <v>22911</v>
      </c>
    </row>
    <row r="7" spans="1:16" ht="15.6" x14ac:dyDescent="0.3">
      <c r="A7" s="8" t="s">
        <v>37</v>
      </c>
      <c r="B7" s="23" t="s">
        <v>47</v>
      </c>
      <c r="C7" s="25" t="s">
        <v>47</v>
      </c>
      <c r="O7" s="2">
        <v>13637</v>
      </c>
      <c r="P7" s="2">
        <v>29735</v>
      </c>
    </row>
    <row r="8" spans="1:16" x14ac:dyDescent="0.3">
      <c r="O8" s="2">
        <v>8532</v>
      </c>
      <c r="P8" s="2">
        <v>31707</v>
      </c>
    </row>
    <row r="9" spans="1:16" x14ac:dyDescent="0.3">
      <c r="O9" s="2">
        <v>12188</v>
      </c>
      <c r="P9" s="2">
        <v>29219</v>
      </c>
    </row>
    <row r="10" spans="1:16" x14ac:dyDescent="0.3">
      <c r="O10" s="2">
        <v>19487</v>
      </c>
      <c r="P10" s="2">
        <v>32041</v>
      </c>
    </row>
    <row r="11" spans="1:16" x14ac:dyDescent="0.3">
      <c r="A11" s="16"/>
      <c r="B11" s="16"/>
      <c r="C11" s="16"/>
      <c r="O11" s="2">
        <v>8031</v>
      </c>
      <c r="P11" s="2">
        <v>34172</v>
      </c>
    </row>
    <row r="12" spans="1:16" x14ac:dyDescent="0.3">
      <c r="A12" s="16"/>
      <c r="B12" s="16"/>
      <c r="C12" s="16"/>
      <c r="O12" s="2">
        <v>13022</v>
      </c>
      <c r="P12" s="2">
        <v>21683</v>
      </c>
    </row>
    <row r="13" spans="1:16" x14ac:dyDescent="0.3">
      <c r="A13" s="16"/>
      <c r="B13" s="16"/>
      <c r="C13" s="16"/>
      <c r="O13" s="2">
        <v>9712</v>
      </c>
      <c r="P13" s="2">
        <v>32985</v>
      </c>
    </row>
    <row r="14" spans="1:16" x14ac:dyDescent="0.3">
      <c r="A14" s="16"/>
      <c r="B14" s="16"/>
      <c r="C14" s="16"/>
      <c r="O14" s="2">
        <v>16160</v>
      </c>
      <c r="P14" s="2">
        <v>22113</v>
      </c>
    </row>
    <row r="15" spans="1:16" x14ac:dyDescent="0.3">
      <c r="A15" s="16"/>
      <c r="B15" s="16"/>
      <c r="C15" s="16"/>
      <c r="O15" s="2">
        <v>14179</v>
      </c>
      <c r="P15" s="2">
        <v>29637</v>
      </c>
    </row>
    <row r="16" spans="1:16" x14ac:dyDescent="0.3">
      <c r="A16" s="16"/>
      <c r="B16" s="16"/>
      <c r="C16" s="16"/>
      <c r="O16" s="2">
        <v>17045</v>
      </c>
      <c r="P16" s="2">
        <v>29223</v>
      </c>
    </row>
    <row r="17" spans="1:16" x14ac:dyDescent="0.3">
      <c r="A17" s="16"/>
      <c r="B17" s="16"/>
      <c r="C17" s="16"/>
      <c r="O17" s="2">
        <v>17275</v>
      </c>
      <c r="P17" s="2">
        <v>27823</v>
      </c>
    </row>
    <row r="18" spans="1:16" x14ac:dyDescent="0.3">
      <c r="A18" s="16"/>
      <c r="B18" s="16"/>
      <c r="C18" s="16"/>
      <c r="O18" s="2">
        <v>18194</v>
      </c>
      <c r="P18" s="2">
        <v>31669</v>
      </c>
    </row>
    <row r="19" spans="1:16" x14ac:dyDescent="0.3">
      <c r="A19" s="16"/>
      <c r="B19" s="16"/>
      <c r="C19" s="16"/>
      <c r="O19" s="2">
        <v>13707</v>
      </c>
      <c r="P19" s="2">
        <v>23675</v>
      </c>
    </row>
    <row r="20" spans="1:16" x14ac:dyDescent="0.3">
      <c r="A20" s="16"/>
      <c r="B20" s="16"/>
      <c r="C20" s="16"/>
      <c r="O20" s="2">
        <v>19298</v>
      </c>
      <c r="P20" s="2">
        <v>29271</v>
      </c>
    </row>
    <row r="21" spans="1:16" x14ac:dyDescent="0.3">
      <c r="A21" s="16"/>
      <c r="B21" s="16"/>
      <c r="C21" s="16"/>
      <c r="O21" s="2">
        <v>27428</v>
      </c>
      <c r="P21" s="2">
        <v>33863</v>
      </c>
    </row>
    <row r="22" spans="1:16" x14ac:dyDescent="0.3">
      <c r="A22" s="16"/>
      <c r="B22" s="16"/>
      <c r="C22" s="16"/>
      <c r="O22" s="2">
        <v>14080</v>
      </c>
      <c r="P22" s="2">
        <v>25103</v>
      </c>
    </row>
    <row r="23" spans="1:16" x14ac:dyDescent="0.3">
      <c r="A23" s="16"/>
      <c r="B23" s="16"/>
      <c r="C23" s="16"/>
      <c r="O23" s="2">
        <v>18768</v>
      </c>
      <c r="P23" s="2">
        <v>33673</v>
      </c>
    </row>
    <row r="24" spans="1:16" x14ac:dyDescent="0.3">
      <c r="A24" s="16"/>
      <c r="B24" s="16"/>
      <c r="C24" s="16"/>
      <c r="O24" s="2">
        <v>10849</v>
      </c>
      <c r="P24" s="2">
        <v>33673</v>
      </c>
    </row>
    <row r="25" spans="1:16" x14ac:dyDescent="0.3">
      <c r="O25" s="2">
        <v>12960</v>
      </c>
      <c r="P25" s="2">
        <v>27323</v>
      </c>
    </row>
    <row r="26" spans="1:16" x14ac:dyDescent="0.3">
      <c r="O26" s="2">
        <v>14543</v>
      </c>
      <c r="P26" s="2">
        <v>28345</v>
      </c>
    </row>
    <row r="27" spans="1:16" x14ac:dyDescent="0.3">
      <c r="O27" s="2">
        <v>11870</v>
      </c>
      <c r="P27" s="2">
        <v>33673</v>
      </c>
    </row>
    <row r="28" spans="1:16" x14ac:dyDescent="0.3">
      <c r="O28" s="2">
        <v>13453</v>
      </c>
      <c r="P28" s="2">
        <v>31138</v>
      </c>
    </row>
    <row r="29" spans="1:16" x14ac:dyDescent="0.3">
      <c r="O29" s="2">
        <v>11221</v>
      </c>
      <c r="P29" s="2">
        <v>31483</v>
      </c>
    </row>
    <row r="30" spans="1:16" x14ac:dyDescent="0.3">
      <c r="O30" s="2">
        <v>10828</v>
      </c>
      <c r="P30" s="2">
        <v>33386</v>
      </c>
    </row>
    <row r="31" spans="1:16" x14ac:dyDescent="0.3">
      <c r="O31" s="2">
        <v>18708</v>
      </c>
      <c r="P31" s="2">
        <v>29749</v>
      </c>
    </row>
    <row r="32" spans="1:16" x14ac:dyDescent="0.3">
      <c r="O32" s="2">
        <v>10713</v>
      </c>
      <c r="P32" s="2">
        <v>23210</v>
      </c>
    </row>
    <row r="33" spans="15:16" x14ac:dyDescent="0.3">
      <c r="O33" s="2">
        <v>13898</v>
      </c>
      <c r="P33" s="2">
        <v>33062</v>
      </c>
    </row>
    <row r="34" spans="15:16" x14ac:dyDescent="0.3">
      <c r="O34" s="2">
        <v>16368</v>
      </c>
      <c r="P34" s="2">
        <v>30444</v>
      </c>
    </row>
    <row r="35" spans="15:16" x14ac:dyDescent="0.3">
      <c r="O35" s="2">
        <v>11776</v>
      </c>
      <c r="P35" s="2">
        <v>23623</v>
      </c>
    </row>
    <row r="36" spans="15:16" x14ac:dyDescent="0.3">
      <c r="O36" s="2">
        <v>12682</v>
      </c>
      <c r="P36" s="2">
        <v>23752</v>
      </c>
    </row>
    <row r="37" spans="15:16" x14ac:dyDescent="0.3">
      <c r="O37" s="2">
        <v>9830</v>
      </c>
      <c r="P37" s="2">
        <v>34473</v>
      </c>
    </row>
    <row r="38" spans="15:16" x14ac:dyDescent="0.3">
      <c r="O38" s="2">
        <v>18922</v>
      </c>
      <c r="P38" s="2">
        <v>26615</v>
      </c>
    </row>
    <row r="39" spans="15:16" x14ac:dyDescent="0.3">
      <c r="O39" s="2">
        <v>17625</v>
      </c>
      <c r="P39" s="2">
        <v>30803</v>
      </c>
    </row>
    <row r="40" spans="15:16" x14ac:dyDescent="0.3">
      <c r="O40" s="2">
        <v>14396</v>
      </c>
      <c r="P40" s="2">
        <v>29833</v>
      </c>
    </row>
    <row r="41" spans="15:16" x14ac:dyDescent="0.3">
      <c r="O41" s="2">
        <v>11783</v>
      </c>
      <c r="P41" s="2">
        <v>30934</v>
      </c>
    </row>
    <row r="42" spans="15:16" x14ac:dyDescent="0.3">
      <c r="O42" s="2">
        <v>12457</v>
      </c>
      <c r="P42" s="2">
        <v>34021</v>
      </c>
    </row>
    <row r="43" spans="15:16" x14ac:dyDescent="0.3">
      <c r="O43" s="2">
        <v>19439</v>
      </c>
      <c r="P43" s="2">
        <v>22800</v>
      </c>
    </row>
    <row r="44" spans="15:16" x14ac:dyDescent="0.3">
      <c r="O44" s="2">
        <v>11720</v>
      </c>
      <c r="P44" s="2">
        <v>31349</v>
      </c>
    </row>
    <row r="45" spans="15:16" x14ac:dyDescent="0.3">
      <c r="O45" s="2">
        <v>9919</v>
      </c>
      <c r="P45" s="2">
        <v>23141</v>
      </c>
    </row>
    <row r="46" spans="15:16" x14ac:dyDescent="0.3">
      <c r="O46" s="2">
        <v>10189</v>
      </c>
      <c r="P46" s="2">
        <v>31017</v>
      </c>
    </row>
    <row r="47" spans="15:16" x14ac:dyDescent="0.3">
      <c r="O47" s="2">
        <v>17272</v>
      </c>
      <c r="P47" s="2">
        <v>30446</v>
      </c>
    </row>
    <row r="48" spans="15:16" x14ac:dyDescent="0.3">
      <c r="O48" s="2">
        <v>16084</v>
      </c>
      <c r="P48" s="2">
        <v>29680</v>
      </c>
    </row>
    <row r="49" spans="15:16" x14ac:dyDescent="0.3">
      <c r="O49" s="2">
        <v>19384</v>
      </c>
      <c r="P49" s="2">
        <v>34299</v>
      </c>
    </row>
    <row r="50" spans="15:16" x14ac:dyDescent="0.3">
      <c r="O50" s="2">
        <v>10998</v>
      </c>
      <c r="P50" s="2">
        <v>31147</v>
      </c>
    </row>
    <row r="51" spans="15:16" x14ac:dyDescent="0.3">
      <c r="O51" s="2">
        <v>11057</v>
      </c>
      <c r="P51" s="2">
        <v>33961</v>
      </c>
    </row>
    <row r="52" spans="15:16" x14ac:dyDescent="0.3">
      <c r="O52" s="2">
        <v>9837</v>
      </c>
      <c r="P52" s="2">
        <v>20770</v>
      </c>
    </row>
    <row r="53" spans="15:16" x14ac:dyDescent="0.3">
      <c r="O53" s="2">
        <v>17777</v>
      </c>
      <c r="P53" s="2">
        <v>29350</v>
      </c>
    </row>
    <row r="54" spans="15:16" x14ac:dyDescent="0.3">
      <c r="O54" s="2">
        <v>14077</v>
      </c>
      <c r="P54" s="2">
        <v>26100</v>
      </c>
    </row>
    <row r="55" spans="15:16" x14ac:dyDescent="0.3">
      <c r="O55" s="2">
        <v>17340</v>
      </c>
      <c r="P55" s="2">
        <v>23487</v>
      </c>
    </row>
    <row r="56" spans="15:16" x14ac:dyDescent="0.3">
      <c r="O56" s="2">
        <v>19230</v>
      </c>
      <c r="P56" s="2">
        <v>20977</v>
      </c>
    </row>
    <row r="57" spans="15:16" x14ac:dyDescent="0.3">
      <c r="O57" s="2">
        <v>12498</v>
      </c>
      <c r="P57" s="2">
        <v>33555</v>
      </c>
    </row>
    <row r="58" spans="15:16" x14ac:dyDescent="0.3">
      <c r="O58" s="2">
        <v>12032</v>
      </c>
      <c r="P58" s="2">
        <v>21427</v>
      </c>
    </row>
    <row r="59" spans="15:16" x14ac:dyDescent="0.3">
      <c r="O59" s="2">
        <v>16592</v>
      </c>
      <c r="P59" s="2">
        <v>34543</v>
      </c>
    </row>
    <row r="60" spans="15:16" x14ac:dyDescent="0.3">
      <c r="O60" s="2">
        <v>9785</v>
      </c>
      <c r="P60" s="2">
        <v>30459</v>
      </c>
    </row>
    <row r="61" spans="15:16" x14ac:dyDescent="0.3">
      <c r="O61" s="2">
        <v>13500</v>
      </c>
      <c r="P61" s="2">
        <v>28288</v>
      </c>
    </row>
    <row r="62" spans="15:16" x14ac:dyDescent="0.3">
      <c r="O62" s="2">
        <v>12039</v>
      </c>
      <c r="P62" s="2">
        <v>26849</v>
      </c>
    </row>
    <row r="63" spans="15:16" x14ac:dyDescent="0.3">
      <c r="O63" s="2">
        <v>9015</v>
      </c>
      <c r="P63" s="2">
        <v>33074</v>
      </c>
    </row>
    <row r="64" spans="15:16" x14ac:dyDescent="0.3">
      <c r="O64" s="2">
        <v>10921</v>
      </c>
      <c r="P64" s="2">
        <v>28327</v>
      </c>
    </row>
    <row r="65" spans="15:16" x14ac:dyDescent="0.3">
      <c r="O65" s="2">
        <v>14844</v>
      </c>
      <c r="P65" s="2">
        <v>27032</v>
      </c>
    </row>
    <row r="66" spans="15:16" x14ac:dyDescent="0.3">
      <c r="O66" s="2">
        <v>19352</v>
      </c>
      <c r="P66" s="2">
        <v>22394</v>
      </c>
    </row>
    <row r="67" spans="15:16" x14ac:dyDescent="0.3">
      <c r="O67" s="2">
        <v>8040</v>
      </c>
      <c r="P67" s="2">
        <v>27899</v>
      </c>
    </row>
    <row r="68" spans="15:16" x14ac:dyDescent="0.3">
      <c r="O68" s="2">
        <v>15147</v>
      </c>
      <c r="P68" s="2">
        <v>20459</v>
      </c>
    </row>
    <row r="69" spans="15:16" x14ac:dyDescent="0.3">
      <c r="O69" s="2">
        <v>26493</v>
      </c>
      <c r="P69" s="2">
        <v>27272</v>
      </c>
    </row>
    <row r="70" spans="15:16" x14ac:dyDescent="0.3">
      <c r="O70" s="2">
        <v>12665</v>
      </c>
      <c r="P70" s="2">
        <v>24503</v>
      </c>
    </row>
    <row r="71" spans="15:16" x14ac:dyDescent="0.3">
      <c r="O71" s="2">
        <v>15050</v>
      </c>
      <c r="P71" s="2">
        <v>32531</v>
      </c>
    </row>
    <row r="72" spans="15:16" x14ac:dyDescent="0.3">
      <c r="O72" s="2">
        <v>10239</v>
      </c>
      <c r="P72" s="2">
        <v>25455</v>
      </c>
    </row>
    <row r="73" spans="15:16" x14ac:dyDescent="0.3">
      <c r="O73" s="2">
        <v>17150</v>
      </c>
      <c r="P73" s="2">
        <v>24998</v>
      </c>
    </row>
    <row r="74" spans="15:16" x14ac:dyDescent="0.3">
      <c r="O74" s="2">
        <v>19805</v>
      </c>
      <c r="P74" s="2">
        <v>28972</v>
      </c>
    </row>
    <row r="75" spans="15:16" x14ac:dyDescent="0.3">
      <c r="O75" s="2">
        <v>17328</v>
      </c>
      <c r="P75" s="2">
        <v>22079</v>
      </c>
    </row>
    <row r="76" spans="15:16" x14ac:dyDescent="0.3">
      <c r="O76" s="2">
        <v>12529</v>
      </c>
      <c r="P76" s="2">
        <v>23427</v>
      </c>
    </row>
    <row r="77" spans="15:16" x14ac:dyDescent="0.3">
      <c r="O77" s="2">
        <v>9200</v>
      </c>
      <c r="P77" s="2">
        <v>22409</v>
      </c>
    </row>
    <row r="78" spans="15:16" x14ac:dyDescent="0.3">
      <c r="O78" s="2">
        <v>18667</v>
      </c>
      <c r="P78" s="2">
        <v>20279</v>
      </c>
    </row>
    <row r="79" spans="15:16" x14ac:dyDescent="0.3">
      <c r="O79" s="2">
        <v>15532</v>
      </c>
      <c r="P79" s="2">
        <v>34142</v>
      </c>
    </row>
    <row r="80" spans="15:16" x14ac:dyDescent="0.3">
      <c r="O80" s="2">
        <v>10255</v>
      </c>
      <c r="P80" s="2">
        <v>25309</v>
      </c>
    </row>
    <row r="81" spans="15:16" x14ac:dyDescent="0.3">
      <c r="O81" s="2">
        <v>11269</v>
      </c>
      <c r="P81" s="2">
        <v>34719</v>
      </c>
    </row>
    <row r="82" spans="15:16" x14ac:dyDescent="0.3">
      <c r="O82" s="2">
        <v>14029</v>
      </c>
      <c r="P82" s="2">
        <v>24339</v>
      </c>
    </row>
    <row r="83" spans="15:16" x14ac:dyDescent="0.3">
      <c r="O83" s="2">
        <v>10841</v>
      </c>
      <c r="P83" s="2">
        <v>33028</v>
      </c>
    </row>
    <row r="84" spans="15:16" x14ac:dyDescent="0.3">
      <c r="O84" s="2">
        <v>9659</v>
      </c>
      <c r="P84" s="2">
        <v>24445</v>
      </c>
    </row>
    <row r="85" spans="15:16" x14ac:dyDescent="0.3">
      <c r="O85" s="2">
        <v>17412</v>
      </c>
      <c r="P85" s="2">
        <v>30830</v>
      </c>
    </row>
    <row r="86" spans="15:16" x14ac:dyDescent="0.3">
      <c r="O86" s="2">
        <v>9050</v>
      </c>
      <c r="P86" s="2">
        <v>25222</v>
      </c>
    </row>
    <row r="87" spans="15:16" x14ac:dyDescent="0.3">
      <c r="O87" s="2">
        <v>10317</v>
      </c>
      <c r="P87" s="2">
        <v>29450</v>
      </c>
    </row>
    <row r="88" spans="15:16" x14ac:dyDescent="0.3">
      <c r="O88" s="2">
        <v>10526</v>
      </c>
      <c r="P88" s="2">
        <v>20031</v>
      </c>
    </row>
    <row r="89" spans="15:16" x14ac:dyDescent="0.3">
      <c r="O89" s="2">
        <v>13144</v>
      </c>
      <c r="P89" s="2">
        <v>21218</v>
      </c>
    </row>
    <row r="90" spans="15:16" x14ac:dyDescent="0.3">
      <c r="O90" s="2">
        <v>19742</v>
      </c>
      <c r="P90" s="2">
        <v>34961</v>
      </c>
    </row>
    <row r="91" spans="15:16" x14ac:dyDescent="0.3">
      <c r="O91" s="2">
        <v>14780</v>
      </c>
      <c r="P91" s="2">
        <v>23877</v>
      </c>
    </row>
    <row r="92" spans="15:16" x14ac:dyDescent="0.3">
      <c r="O92" s="2">
        <v>9952</v>
      </c>
      <c r="P92" s="2">
        <v>24137</v>
      </c>
    </row>
    <row r="93" spans="15:16" x14ac:dyDescent="0.3">
      <c r="O93" s="2">
        <v>9674</v>
      </c>
      <c r="P93" s="2">
        <v>22399</v>
      </c>
    </row>
    <row r="94" spans="15:16" x14ac:dyDescent="0.3">
      <c r="O94" s="2">
        <v>16059</v>
      </c>
      <c r="P94" s="2">
        <v>20226</v>
      </c>
    </row>
    <row r="95" spans="15:16" x14ac:dyDescent="0.3">
      <c r="O95" s="2">
        <v>13652</v>
      </c>
      <c r="P95" s="2">
        <v>34353</v>
      </c>
    </row>
    <row r="96" spans="15:16" x14ac:dyDescent="0.3">
      <c r="O96" s="2">
        <v>9941</v>
      </c>
      <c r="P96" s="2">
        <v>24626</v>
      </c>
    </row>
    <row r="97" spans="15:16" x14ac:dyDescent="0.3">
      <c r="O97" s="2">
        <v>13685</v>
      </c>
      <c r="P97" s="2">
        <v>24422</v>
      </c>
    </row>
    <row r="98" spans="15:16" x14ac:dyDescent="0.3">
      <c r="O98" s="2">
        <v>17053</v>
      </c>
      <c r="P98" s="2">
        <v>22596</v>
      </c>
    </row>
    <row r="99" spans="15:16" x14ac:dyDescent="0.3">
      <c r="O99" s="2">
        <v>16797</v>
      </c>
      <c r="P99" s="2">
        <v>28043</v>
      </c>
    </row>
    <row r="100" spans="15:16" x14ac:dyDescent="0.3">
      <c r="O100" s="2">
        <v>11220</v>
      </c>
      <c r="P100" s="2">
        <v>23206</v>
      </c>
    </row>
    <row r="101" spans="15:16" x14ac:dyDescent="0.3">
      <c r="O101" s="2">
        <v>14880</v>
      </c>
      <c r="P101" s="2">
        <v>28299</v>
      </c>
    </row>
    <row r="102" spans="15:16" x14ac:dyDescent="0.3">
      <c r="O102" s="2">
        <v>12861</v>
      </c>
      <c r="P102" s="2">
        <v>32890</v>
      </c>
    </row>
    <row r="103" spans="15:16" x14ac:dyDescent="0.3">
      <c r="O103" s="2">
        <v>11330</v>
      </c>
      <c r="P103" s="2">
        <v>29651</v>
      </c>
    </row>
    <row r="104" spans="15:16" x14ac:dyDescent="0.3">
      <c r="O104" s="2">
        <v>12941</v>
      </c>
      <c r="P104" s="2">
        <v>28602</v>
      </c>
    </row>
    <row r="105" spans="15:16" x14ac:dyDescent="0.3">
      <c r="O105" s="2">
        <v>9453</v>
      </c>
      <c r="P105" s="2">
        <v>29412</v>
      </c>
    </row>
    <row r="106" spans="15:16" x14ac:dyDescent="0.3">
      <c r="O106" s="2">
        <v>16806</v>
      </c>
      <c r="P106" s="2">
        <v>22042</v>
      </c>
    </row>
    <row r="107" spans="15:16" x14ac:dyDescent="0.3">
      <c r="O107" s="2">
        <v>16835</v>
      </c>
      <c r="P107" s="2">
        <v>30142</v>
      </c>
    </row>
    <row r="108" spans="15:16" x14ac:dyDescent="0.3">
      <c r="O108" s="2">
        <v>10087</v>
      </c>
    </row>
    <row r="109" spans="15:16" x14ac:dyDescent="0.3">
      <c r="O109" s="2">
        <v>12757</v>
      </c>
    </row>
    <row r="110" spans="15:16" x14ac:dyDescent="0.3">
      <c r="O110" s="2">
        <v>10766</v>
      </c>
    </row>
    <row r="111" spans="15:16" x14ac:dyDescent="0.3">
      <c r="O111" s="2">
        <v>9434</v>
      </c>
    </row>
    <row r="112" spans="15:16" x14ac:dyDescent="0.3">
      <c r="O112" s="2">
        <v>10397</v>
      </c>
    </row>
    <row r="113" spans="15:15" x14ac:dyDescent="0.3">
      <c r="O113" s="2">
        <v>17177</v>
      </c>
    </row>
    <row r="114" spans="15:15" x14ac:dyDescent="0.3">
      <c r="O114" s="2">
        <v>12886</v>
      </c>
    </row>
    <row r="115" spans="15:15" x14ac:dyDescent="0.3">
      <c r="O115" s="2">
        <v>12804</v>
      </c>
    </row>
    <row r="116" spans="15:15" x14ac:dyDescent="0.3">
      <c r="O116" s="2">
        <v>10028</v>
      </c>
    </row>
    <row r="117" spans="15:15" x14ac:dyDescent="0.3">
      <c r="O117" s="2">
        <v>13499</v>
      </c>
    </row>
    <row r="118" spans="15:15" x14ac:dyDescent="0.3">
      <c r="O118" s="2">
        <v>15354</v>
      </c>
    </row>
    <row r="119" spans="15:15" x14ac:dyDescent="0.3">
      <c r="O119" s="2">
        <v>14596</v>
      </c>
    </row>
    <row r="120" spans="15:15" x14ac:dyDescent="0.3">
      <c r="O120" s="2">
        <v>18435</v>
      </c>
    </row>
    <row r="121" spans="15:15" x14ac:dyDescent="0.3">
      <c r="O121" s="2">
        <v>11737</v>
      </c>
    </row>
    <row r="122" spans="15:15" x14ac:dyDescent="0.3">
      <c r="O122" s="2">
        <v>12844</v>
      </c>
    </row>
    <row r="123" spans="15:15" x14ac:dyDescent="0.3">
      <c r="O123" s="2">
        <v>11531</v>
      </c>
    </row>
    <row r="124" spans="15:15" x14ac:dyDescent="0.3">
      <c r="O124" s="2">
        <v>11764</v>
      </c>
    </row>
    <row r="125" spans="15:15" x14ac:dyDescent="0.3">
      <c r="O125" s="2">
        <v>15273</v>
      </c>
    </row>
    <row r="126" spans="15:15" x14ac:dyDescent="0.3">
      <c r="O126" s="2">
        <v>18729</v>
      </c>
    </row>
    <row r="127" spans="15:15" x14ac:dyDescent="0.3">
      <c r="O127" s="2">
        <v>9824</v>
      </c>
    </row>
    <row r="128" spans="15:15" x14ac:dyDescent="0.3">
      <c r="O128" s="2">
        <v>12483</v>
      </c>
    </row>
    <row r="129" spans="15:15" x14ac:dyDescent="0.3">
      <c r="O129" s="2">
        <v>14918</v>
      </c>
    </row>
    <row r="130" spans="15:15" x14ac:dyDescent="0.3">
      <c r="O130" s="2">
        <v>17497</v>
      </c>
    </row>
    <row r="131" spans="15:15" x14ac:dyDescent="0.3">
      <c r="O131" s="2">
        <v>14053</v>
      </c>
    </row>
    <row r="132" spans="15:15" x14ac:dyDescent="0.3">
      <c r="O132" s="2">
        <v>8241</v>
      </c>
    </row>
    <row r="133" spans="15:15" x14ac:dyDescent="0.3">
      <c r="O133" s="2">
        <v>10715</v>
      </c>
    </row>
    <row r="134" spans="15:15" x14ac:dyDescent="0.3">
      <c r="O134" s="2">
        <v>8352</v>
      </c>
    </row>
    <row r="135" spans="15:15" x14ac:dyDescent="0.3">
      <c r="O135" s="2">
        <v>14982</v>
      </c>
    </row>
    <row r="136" spans="15:15" x14ac:dyDescent="0.3">
      <c r="O136" s="2">
        <v>14732</v>
      </c>
    </row>
    <row r="137" spans="15:15" x14ac:dyDescent="0.3">
      <c r="O137" s="2">
        <v>14050</v>
      </c>
    </row>
    <row r="138" spans="15:15" x14ac:dyDescent="0.3">
      <c r="O138" s="2">
        <v>12755</v>
      </c>
    </row>
    <row r="139" spans="15:15" x14ac:dyDescent="0.3">
      <c r="O139" s="2">
        <v>12806</v>
      </c>
    </row>
    <row r="140" spans="15:15" x14ac:dyDescent="0.3">
      <c r="O140" s="2">
        <v>14152</v>
      </c>
    </row>
    <row r="141" spans="15:15" x14ac:dyDescent="0.3">
      <c r="O141" s="2">
        <v>12699</v>
      </c>
    </row>
    <row r="142" spans="15:15" x14ac:dyDescent="0.3">
      <c r="O142" s="2">
        <v>18922</v>
      </c>
    </row>
    <row r="143" spans="15:15" x14ac:dyDescent="0.3">
      <c r="O143" s="2">
        <v>18586</v>
      </c>
    </row>
    <row r="144" spans="15:15" x14ac:dyDescent="0.3">
      <c r="O144" s="2">
        <v>14225</v>
      </c>
    </row>
    <row r="145" spans="15:15" x14ac:dyDescent="0.3">
      <c r="O145" s="2">
        <v>8651</v>
      </c>
    </row>
    <row r="146" spans="15:15" x14ac:dyDescent="0.3">
      <c r="O146" s="2">
        <v>19081</v>
      </c>
    </row>
    <row r="147" spans="15:15" x14ac:dyDescent="0.3">
      <c r="O147" s="2">
        <v>24187</v>
      </c>
    </row>
    <row r="148" spans="15:15" x14ac:dyDescent="0.3">
      <c r="O148" s="2">
        <v>19444</v>
      </c>
    </row>
    <row r="149" spans="15:15" x14ac:dyDescent="0.3">
      <c r="O149" s="2">
        <v>18263</v>
      </c>
    </row>
    <row r="150" spans="15:15" x14ac:dyDescent="0.3">
      <c r="O150" s="2">
        <v>13379</v>
      </c>
    </row>
    <row r="151" spans="15:15" x14ac:dyDescent="0.3">
      <c r="O151" s="2">
        <v>8408</v>
      </c>
    </row>
    <row r="152" spans="15:15" x14ac:dyDescent="0.3">
      <c r="O152" s="2">
        <v>16644</v>
      </c>
    </row>
    <row r="153" spans="15:15" x14ac:dyDescent="0.3">
      <c r="O153" s="2">
        <v>10962</v>
      </c>
    </row>
    <row r="154" spans="15:15" x14ac:dyDescent="0.3">
      <c r="O154" s="2">
        <v>10739</v>
      </c>
    </row>
    <row r="155" spans="15:15" x14ac:dyDescent="0.3">
      <c r="O155" s="2">
        <v>19109</v>
      </c>
    </row>
    <row r="156" spans="15:15" x14ac:dyDescent="0.3">
      <c r="O156" s="2">
        <v>15703</v>
      </c>
    </row>
    <row r="157" spans="15:15" x14ac:dyDescent="0.3">
      <c r="O157" s="2">
        <v>17389</v>
      </c>
    </row>
    <row r="158" spans="15:15" x14ac:dyDescent="0.3">
      <c r="O158" s="2">
        <v>9421</v>
      </c>
    </row>
    <row r="159" spans="15:15" x14ac:dyDescent="0.3">
      <c r="O159" s="2">
        <v>18374</v>
      </c>
    </row>
    <row r="160" spans="15:15" x14ac:dyDescent="0.3">
      <c r="O160" s="2">
        <v>17667</v>
      </c>
    </row>
    <row r="161" spans="15:15" x14ac:dyDescent="0.3">
      <c r="O161" s="2">
        <v>14950</v>
      </c>
    </row>
    <row r="162" spans="15:15" x14ac:dyDescent="0.3">
      <c r="O162" s="2">
        <v>8128</v>
      </c>
    </row>
    <row r="163" spans="15:15" x14ac:dyDescent="0.3">
      <c r="O163" s="2">
        <v>15105</v>
      </c>
    </row>
    <row r="164" spans="15:15" x14ac:dyDescent="0.3">
      <c r="O164" s="2">
        <v>17942</v>
      </c>
    </row>
    <row r="165" spans="15:15" x14ac:dyDescent="0.3">
      <c r="O165" s="2">
        <v>9420</v>
      </c>
    </row>
    <row r="166" spans="15:15" x14ac:dyDescent="0.3">
      <c r="O166" s="2">
        <v>10881</v>
      </c>
    </row>
    <row r="167" spans="15:15" x14ac:dyDescent="0.3">
      <c r="O167" s="2">
        <v>18443</v>
      </c>
    </row>
    <row r="168" spans="15:15" x14ac:dyDescent="0.3">
      <c r="O168" s="2">
        <v>13026</v>
      </c>
    </row>
    <row r="169" spans="15:15" x14ac:dyDescent="0.3">
      <c r="O169" s="2">
        <v>9608</v>
      </c>
    </row>
    <row r="170" spans="15:15" x14ac:dyDescent="0.3">
      <c r="O170" s="2">
        <v>15620</v>
      </c>
    </row>
    <row r="171" spans="15:15" x14ac:dyDescent="0.3">
      <c r="O171" s="2">
        <v>16462</v>
      </c>
    </row>
    <row r="172" spans="15:15" x14ac:dyDescent="0.3">
      <c r="O172" s="2">
        <v>18872</v>
      </c>
    </row>
    <row r="173" spans="15:15" x14ac:dyDescent="0.3">
      <c r="O173" s="2">
        <v>15936</v>
      </c>
    </row>
    <row r="174" spans="15:15" x14ac:dyDescent="0.3">
      <c r="O174" s="2">
        <v>14138</v>
      </c>
    </row>
    <row r="175" spans="15:15" x14ac:dyDescent="0.3">
      <c r="O175" s="2">
        <v>17139</v>
      </c>
    </row>
    <row r="176" spans="15:15" x14ac:dyDescent="0.3">
      <c r="O176" s="2">
        <v>18686</v>
      </c>
    </row>
    <row r="177" spans="15:15" x14ac:dyDescent="0.3">
      <c r="O177" s="2">
        <v>17377</v>
      </c>
    </row>
    <row r="178" spans="15:15" x14ac:dyDescent="0.3">
      <c r="O178" s="2">
        <v>19631</v>
      </c>
    </row>
    <row r="179" spans="15:15" x14ac:dyDescent="0.3">
      <c r="O179" s="2">
        <v>15677</v>
      </c>
    </row>
    <row r="180" spans="15:15" x14ac:dyDescent="0.3">
      <c r="O180" s="2">
        <v>14951</v>
      </c>
    </row>
    <row r="181" spans="15:15" x14ac:dyDescent="0.3">
      <c r="O181" s="2">
        <v>18978</v>
      </c>
    </row>
    <row r="182" spans="15:15" x14ac:dyDescent="0.3">
      <c r="O182" s="2">
        <v>19142</v>
      </c>
    </row>
    <row r="183" spans="15:15" x14ac:dyDescent="0.3">
      <c r="O183" s="2">
        <v>13500</v>
      </c>
    </row>
    <row r="184" spans="15:15" x14ac:dyDescent="0.3">
      <c r="O184" s="2">
        <v>15480</v>
      </c>
    </row>
    <row r="185" spans="15:15" x14ac:dyDescent="0.3">
      <c r="O185" s="2">
        <v>15255</v>
      </c>
    </row>
    <row r="186" spans="15:15" x14ac:dyDescent="0.3">
      <c r="O186" s="2">
        <v>12603</v>
      </c>
    </row>
    <row r="187" spans="15:15" x14ac:dyDescent="0.3">
      <c r="O187" s="2">
        <v>19140</v>
      </c>
    </row>
    <row r="188" spans="15:15" x14ac:dyDescent="0.3">
      <c r="O188" s="2">
        <v>11549</v>
      </c>
    </row>
    <row r="189" spans="15:15" x14ac:dyDescent="0.3">
      <c r="O189" s="2">
        <v>14567</v>
      </c>
    </row>
    <row r="190" spans="15:15" x14ac:dyDescent="0.3">
      <c r="O190" s="2">
        <v>13366</v>
      </c>
    </row>
    <row r="191" spans="15:15" x14ac:dyDescent="0.3">
      <c r="O191" s="2">
        <v>9132</v>
      </c>
    </row>
    <row r="192" spans="15:15" x14ac:dyDescent="0.3">
      <c r="O192" s="2">
        <v>21752</v>
      </c>
    </row>
    <row r="193" spans="15:15" x14ac:dyDescent="0.3">
      <c r="O193" s="2">
        <v>14631</v>
      </c>
    </row>
    <row r="194" spans="15:15" x14ac:dyDescent="0.3">
      <c r="O194" s="2">
        <v>13698</v>
      </c>
    </row>
    <row r="195" spans="15:15" x14ac:dyDescent="0.3">
      <c r="O195" s="2">
        <v>11755</v>
      </c>
    </row>
    <row r="196" spans="15:15" x14ac:dyDescent="0.3">
      <c r="O196" s="2">
        <v>9145</v>
      </c>
    </row>
    <row r="197" spans="15:15" x14ac:dyDescent="0.3">
      <c r="O197" s="2">
        <v>10937</v>
      </c>
    </row>
    <row r="198" spans="15:15" x14ac:dyDescent="0.3">
      <c r="O198" s="2">
        <v>18407</v>
      </c>
    </row>
    <row r="199" spans="15:15" x14ac:dyDescent="0.3">
      <c r="O199" s="2">
        <v>10457</v>
      </c>
    </row>
    <row r="200" spans="15:15" x14ac:dyDescent="0.3">
      <c r="O200" s="2">
        <v>14005</v>
      </c>
    </row>
    <row r="201" spans="15:15" x14ac:dyDescent="0.3">
      <c r="O201" s="2">
        <v>29658</v>
      </c>
    </row>
    <row r="202" spans="15:15" x14ac:dyDescent="0.3">
      <c r="O202" s="2">
        <v>17473</v>
      </c>
    </row>
    <row r="203" spans="15:15" x14ac:dyDescent="0.3">
      <c r="O203" s="2">
        <v>30258</v>
      </c>
    </row>
    <row r="204" spans="15:15" x14ac:dyDescent="0.3">
      <c r="O204" s="2">
        <v>10276</v>
      </c>
    </row>
    <row r="205" spans="15:15" x14ac:dyDescent="0.3">
      <c r="O205" s="2">
        <v>11847</v>
      </c>
    </row>
    <row r="206" spans="15:15" x14ac:dyDescent="0.3">
      <c r="O206" s="2">
        <v>11374</v>
      </c>
    </row>
    <row r="207" spans="15:15" x14ac:dyDescent="0.3">
      <c r="O207" s="2">
        <v>18467</v>
      </c>
    </row>
    <row r="208" spans="15:15" x14ac:dyDescent="0.3">
      <c r="O208" s="2">
        <v>11605</v>
      </c>
    </row>
    <row r="209" spans="15:15" x14ac:dyDescent="0.3">
      <c r="O209" s="2">
        <v>9914</v>
      </c>
    </row>
    <row r="210" spans="15:15" x14ac:dyDescent="0.3">
      <c r="O210" s="2">
        <v>15442</v>
      </c>
    </row>
    <row r="211" spans="15:15" x14ac:dyDescent="0.3">
      <c r="O211" s="2">
        <v>13500</v>
      </c>
    </row>
    <row r="212" spans="15:15" x14ac:dyDescent="0.3">
      <c r="O212" s="2">
        <v>15514</v>
      </c>
    </row>
    <row r="213" spans="15:15" x14ac:dyDescent="0.3">
      <c r="O213" s="2">
        <v>16554</v>
      </c>
    </row>
    <row r="214" spans="15:15" x14ac:dyDescent="0.3">
      <c r="O214" s="2">
        <v>31483</v>
      </c>
    </row>
    <row r="215" spans="15:15" x14ac:dyDescent="0.3">
      <c r="O215" s="2">
        <v>13408</v>
      </c>
    </row>
    <row r="216" spans="15:15" x14ac:dyDescent="0.3">
      <c r="O216" s="2">
        <v>30478</v>
      </c>
    </row>
    <row r="217" spans="15:15" x14ac:dyDescent="0.3">
      <c r="O217" s="2">
        <v>13500</v>
      </c>
    </row>
    <row r="218" spans="15:15" x14ac:dyDescent="0.3">
      <c r="O218" s="2">
        <v>14300</v>
      </c>
    </row>
    <row r="219" spans="15:15" x14ac:dyDescent="0.3">
      <c r="O219" s="2">
        <v>31178</v>
      </c>
    </row>
    <row r="220" spans="15:15" x14ac:dyDescent="0.3">
      <c r="O220" s="2">
        <v>8089</v>
      </c>
    </row>
    <row r="221" spans="15:15" x14ac:dyDescent="0.3">
      <c r="O221" s="2">
        <v>18283</v>
      </c>
    </row>
    <row r="222" spans="15:15" x14ac:dyDescent="0.3">
      <c r="O222" s="2">
        <v>13217</v>
      </c>
    </row>
    <row r="223" spans="15:15" x14ac:dyDescent="0.3">
      <c r="O223" s="2">
        <v>8499</v>
      </c>
    </row>
    <row r="224" spans="15:15" x14ac:dyDescent="0.3">
      <c r="O224" s="2">
        <v>10707</v>
      </c>
    </row>
    <row r="225" spans="15:15" x14ac:dyDescent="0.3">
      <c r="O225" s="2">
        <v>11174</v>
      </c>
    </row>
    <row r="226" spans="15:15" x14ac:dyDescent="0.3">
      <c r="O226" s="2">
        <v>14447</v>
      </c>
    </row>
    <row r="227" spans="15:15" x14ac:dyDescent="0.3">
      <c r="O227" s="2">
        <v>11562</v>
      </c>
    </row>
    <row r="228" spans="15:15" x14ac:dyDescent="0.3">
      <c r="O228" s="2">
        <v>34444</v>
      </c>
    </row>
    <row r="229" spans="15:15" x14ac:dyDescent="0.3">
      <c r="O229" s="2">
        <v>15663</v>
      </c>
    </row>
    <row r="230" spans="15:15" x14ac:dyDescent="0.3">
      <c r="O230" s="2">
        <v>13500</v>
      </c>
    </row>
    <row r="231" spans="15:15" x14ac:dyDescent="0.3">
      <c r="O231" s="2">
        <v>8143</v>
      </c>
    </row>
    <row r="232" spans="15:15" x14ac:dyDescent="0.3">
      <c r="O232" s="2">
        <v>36214</v>
      </c>
    </row>
    <row r="233" spans="15:15" x14ac:dyDescent="0.3">
      <c r="O233" s="2">
        <v>38437</v>
      </c>
    </row>
    <row r="234" spans="15:15" x14ac:dyDescent="0.3">
      <c r="O234" s="2">
        <v>15133</v>
      </c>
    </row>
    <row r="235" spans="15:15" x14ac:dyDescent="0.3">
      <c r="O235" s="2">
        <v>16809</v>
      </c>
    </row>
    <row r="236" spans="15:15" x14ac:dyDescent="0.3">
      <c r="O236" s="2">
        <v>8959</v>
      </c>
    </row>
    <row r="237" spans="15:15" x14ac:dyDescent="0.3">
      <c r="O237" s="2">
        <v>15003</v>
      </c>
    </row>
    <row r="238" spans="15:15" x14ac:dyDescent="0.3">
      <c r="O238" s="2">
        <v>13861</v>
      </c>
    </row>
    <row r="239" spans="15:15" x14ac:dyDescent="0.3">
      <c r="O239" s="2">
        <v>10178</v>
      </c>
    </row>
    <row r="240" spans="15:15" x14ac:dyDescent="0.3">
      <c r="O240" s="2">
        <v>12606</v>
      </c>
    </row>
    <row r="241" spans="15:15" x14ac:dyDescent="0.3">
      <c r="O241" s="2">
        <v>34240</v>
      </c>
    </row>
    <row r="242" spans="15:15" x14ac:dyDescent="0.3">
      <c r="O242" s="2">
        <v>38142</v>
      </c>
    </row>
    <row r="243" spans="15:15" x14ac:dyDescent="0.3">
      <c r="O243" s="2">
        <v>13496</v>
      </c>
    </row>
    <row r="244" spans="15:15" x14ac:dyDescent="0.3">
      <c r="O244" s="2">
        <v>12710</v>
      </c>
    </row>
    <row r="245" spans="15:15" x14ac:dyDescent="0.3">
      <c r="O245" s="2">
        <v>10745</v>
      </c>
    </row>
    <row r="246" spans="15:15" x14ac:dyDescent="0.3">
      <c r="O246" s="2">
        <v>19085</v>
      </c>
    </row>
    <row r="247" spans="15:15" x14ac:dyDescent="0.3">
      <c r="O247" s="2">
        <v>18875</v>
      </c>
    </row>
    <row r="248" spans="15:15" x14ac:dyDescent="0.3">
      <c r="O248" s="2">
        <v>17153</v>
      </c>
    </row>
    <row r="249" spans="15:15" x14ac:dyDescent="0.3">
      <c r="O249" s="2">
        <v>9654</v>
      </c>
    </row>
    <row r="250" spans="15:15" x14ac:dyDescent="0.3">
      <c r="O250" s="2">
        <v>12875</v>
      </c>
    </row>
    <row r="251" spans="15:15" x14ac:dyDescent="0.3">
      <c r="O251" s="2">
        <v>12297</v>
      </c>
    </row>
    <row r="252" spans="15:15" x14ac:dyDescent="0.3">
      <c r="O252" s="2">
        <v>31525</v>
      </c>
    </row>
    <row r="253" spans="15:15" x14ac:dyDescent="0.3">
      <c r="O253" s="2">
        <v>18494</v>
      </c>
    </row>
    <row r="254" spans="15:15" x14ac:dyDescent="0.3">
      <c r="O254" s="2">
        <v>32874</v>
      </c>
    </row>
    <row r="255" spans="15:15" x14ac:dyDescent="0.3">
      <c r="O255" s="2">
        <v>15016</v>
      </c>
    </row>
    <row r="256" spans="15:15" x14ac:dyDescent="0.3">
      <c r="O256" s="2">
        <v>18377</v>
      </c>
    </row>
    <row r="257" spans="15:15" x14ac:dyDescent="0.3">
      <c r="O257" s="2">
        <v>10627</v>
      </c>
    </row>
    <row r="258" spans="15:15" x14ac:dyDescent="0.3">
      <c r="O258" s="2">
        <v>13986</v>
      </c>
    </row>
    <row r="259" spans="15:15" x14ac:dyDescent="0.3">
      <c r="O259" s="2">
        <v>12142</v>
      </c>
    </row>
    <row r="260" spans="15:15" x14ac:dyDescent="0.3">
      <c r="O260" s="2">
        <v>19482</v>
      </c>
    </row>
    <row r="261" spans="15:15" x14ac:dyDescent="0.3">
      <c r="O261" s="2">
        <v>11684</v>
      </c>
    </row>
    <row r="262" spans="15:15" x14ac:dyDescent="0.3">
      <c r="O262" s="2">
        <v>16113</v>
      </c>
    </row>
  </sheetData>
  <mergeCells count="2">
    <mergeCell ref="B1:C1"/>
    <mergeCell ref="O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Q190"/>
  <sheetViews>
    <sheetView workbookViewId="0">
      <selection activeCell="D7" sqref="D7"/>
    </sheetView>
  </sheetViews>
  <sheetFormatPr defaultRowHeight="14.4" x14ac:dyDescent="0.3"/>
  <cols>
    <col min="1" max="1" width="12.21875" bestFit="1" customWidth="1"/>
    <col min="2" max="2" width="25.33203125" customWidth="1"/>
    <col min="3" max="3" width="23.44140625" customWidth="1"/>
    <col min="4" max="4" width="30.33203125" customWidth="1"/>
    <col min="14" max="14" width="3.5546875" customWidth="1"/>
    <col min="16" max="16" width="11.33203125" customWidth="1"/>
    <col min="17" max="17" width="10.77734375" customWidth="1"/>
  </cols>
  <sheetData>
    <row r="1" spans="1:17" ht="15.6" customHeight="1" x14ac:dyDescent="0.3">
      <c r="A1" s="9"/>
      <c r="B1" s="29" t="s">
        <v>43</v>
      </c>
      <c r="C1" s="30"/>
      <c r="D1" s="30"/>
      <c r="O1" s="29" t="s">
        <v>43</v>
      </c>
      <c r="P1" s="30"/>
      <c r="Q1" s="30"/>
    </row>
    <row r="2" spans="1:17" ht="15.6" x14ac:dyDescent="0.3">
      <c r="A2" s="9"/>
      <c r="B2" s="17" t="s">
        <v>21</v>
      </c>
      <c r="C2" s="17" t="s">
        <v>22</v>
      </c>
      <c r="D2" s="17" t="s">
        <v>20</v>
      </c>
      <c r="O2" s="17" t="s">
        <v>21</v>
      </c>
      <c r="P2" s="17" t="s">
        <v>22</v>
      </c>
      <c r="Q2" s="17" t="s">
        <v>20</v>
      </c>
    </row>
    <row r="3" spans="1:17" ht="15.6" x14ac:dyDescent="0.3">
      <c r="A3" s="10" t="s">
        <v>29</v>
      </c>
      <c r="B3" s="22">
        <f>AVERAGE(O3:O121)</f>
        <v>2126.0084033613443</v>
      </c>
      <c r="C3" s="22">
        <f>AVERAGE(P3:P60)</f>
        <v>2182.2758620689656</v>
      </c>
      <c r="D3" s="22">
        <f>AVERAGE(Q3:Q190)</f>
        <v>2307.1010638297871</v>
      </c>
      <c r="O3">
        <v>1708</v>
      </c>
      <c r="P3">
        <v>2661</v>
      </c>
      <c r="Q3">
        <v>2564</v>
      </c>
    </row>
    <row r="4" spans="1:17" ht="15.6" x14ac:dyDescent="0.3">
      <c r="A4" s="10" t="s">
        <v>30</v>
      </c>
      <c r="B4" s="22">
        <f>MEDIAN(O3:O121)</f>
        <v>2121</v>
      </c>
      <c r="C4" s="22">
        <f>MEDIAN(P3:P60)</f>
        <v>2102</v>
      </c>
      <c r="D4" s="22">
        <f>MEDIAN(Q3:Q190)</f>
        <v>2438</v>
      </c>
      <c r="O4">
        <v>1776</v>
      </c>
      <c r="P4">
        <v>1333</v>
      </c>
      <c r="Q4">
        <v>1455</v>
      </c>
    </row>
    <row r="5" spans="1:17" ht="15.6" x14ac:dyDescent="0.3">
      <c r="A5" s="10" t="s">
        <v>31</v>
      </c>
      <c r="B5" s="22">
        <f>MODE(O3:O121)</f>
        <v>2210</v>
      </c>
      <c r="C5" s="22">
        <f>MODE(P3:P60)</f>
        <v>2099</v>
      </c>
      <c r="D5" s="22">
        <f>MODE(Q3:Q190)</f>
        <v>1455</v>
      </c>
      <c r="O5">
        <v>2131</v>
      </c>
      <c r="P5">
        <v>3897</v>
      </c>
      <c r="Q5">
        <v>3007</v>
      </c>
    </row>
    <row r="6" spans="1:17" ht="15.6" x14ac:dyDescent="0.3">
      <c r="A6" s="10" t="s">
        <v>44</v>
      </c>
      <c r="B6" s="19" t="s">
        <v>48</v>
      </c>
      <c r="C6" s="19" t="s">
        <v>45</v>
      </c>
      <c r="D6" s="19" t="s">
        <v>49</v>
      </c>
      <c r="O6">
        <v>3135</v>
      </c>
      <c r="P6">
        <v>3566</v>
      </c>
      <c r="Q6">
        <v>2157</v>
      </c>
    </row>
    <row r="7" spans="1:17" ht="15.6" x14ac:dyDescent="0.3">
      <c r="A7" s="10" t="s">
        <v>37</v>
      </c>
      <c r="B7" s="19" t="s">
        <v>51</v>
      </c>
      <c r="C7" s="19" t="s">
        <v>50</v>
      </c>
      <c r="D7" s="19" t="s">
        <v>52</v>
      </c>
      <c r="O7">
        <v>748</v>
      </c>
      <c r="P7">
        <v>2105</v>
      </c>
      <c r="Q7">
        <v>927</v>
      </c>
    </row>
    <row r="8" spans="1:17" x14ac:dyDescent="0.3">
      <c r="O8">
        <v>1701</v>
      </c>
      <c r="P8">
        <v>1059</v>
      </c>
      <c r="Q8">
        <v>1922</v>
      </c>
    </row>
    <row r="9" spans="1:17" x14ac:dyDescent="0.3">
      <c r="O9">
        <v>2328</v>
      </c>
      <c r="P9">
        <v>2099</v>
      </c>
      <c r="Q9">
        <v>1561</v>
      </c>
    </row>
    <row r="10" spans="1:17" x14ac:dyDescent="0.3">
      <c r="A10" s="26"/>
      <c r="B10" s="26"/>
      <c r="C10" s="26"/>
      <c r="D10" s="26"/>
      <c r="O10">
        <v>1793</v>
      </c>
      <c r="P10">
        <v>622</v>
      </c>
      <c r="Q10">
        <v>2978</v>
      </c>
    </row>
    <row r="11" spans="1:17" x14ac:dyDescent="0.3">
      <c r="A11" s="26"/>
      <c r="B11" s="26"/>
      <c r="C11" s="26"/>
      <c r="D11" s="26"/>
      <c r="O11">
        <v>1890</v>
      </c>
      <c r="P11">
        <v>2357</v>
      </c>
      <c r="Q11">
        <v>3738</v>
      </c>
    </row>
    <row r="12" spans="1:17" x14ac:dyDescent="0.3">
      <c r="A12" s="26"/>
      <c r="B12" s="26"/>
      <c r="C12" s="26"/>
      <c r="D12" s="26"/>
      <c r="O12">
        <v>3123</v>
      </c>
      <c r="P12">
        <v>2088</v>
      </c>
      <c r="Q12">
        <v>3490</v>
      </c>
    </row>
    <row r="13" spans="1:17" x14ac:dyDescent="0.3">
      <c r="A13" s="26"/>
      <c r="B13" s="26"/>
      <c r="C13" s="26"/>
      <c r="D13" s="26"/>
      <c r="O13">
        <v>534</v>
      </c>
      <c r="P13">
        <v>3996</v>
      </c>
      <c r="Q13">
        <v>593</v>
      </c>
    </row>
    <row r="14" spans="1:17" x14ac:dyDescent="0.3">
      <c r="A14" s="26"/>
      <c r="B14" s="26"/>
      <c r="C14" s="26"/>
      <c r="D14" s="26"/>
      <c r="O14">
        <v>1002</v>
      </c>
      <c r="P14">
        <v>1901</v>
      </c>
      <c r="Q14">
        <v>1708</v>
      </c>
    </row>
    <row r="15" spans="1:17" x14ac:dyDescent="0.3">
      <c r="A15" s="26"/>
      <c r="B15" s="26"/>
      <c r="C15" s="26"/>
      <c r="D15" s="26"/>
      <c r="O15">
        <v>885</v>
      </c>
      <c r="P15">
        <v>2787</v>
      </c>
      <c r="Q15">
        <v>3816</v>
      </c>
    </row>
    <row r="16" spans="1:17" x14ac:dyDescent="0.3">
      <c r="A16" s="26"/>
      <c r="B16" s="26"/>
      <c r="C16" s="26"/>
      <c r="D16" s="26"/>
      <c r="O16">
        <v>2935</v>
      </c>
      <c r="P16">
        <v>623</v>
      </c>
      <c r="Q16">
        <v>2570</v>
      </c>
    </row>
    <row r="17" spans="1:17" x14ac:dyDescent="0.3">
      <c r="A17" s="26"/>
      <c r="B17" s="26"/>
      <c r="C17" s="26"/>
      <c r="D17" s="26"/>
      <c r="O17">
        <v>1300</v>
      </c>
      <c r="P17">
        <v>1102</v>
      </c>
      <c r="Q17">
        <v>3134</v>
      </c>
    </row>
    <row r="18" spans="1:17" x14ac:dyDescent="0.3">
      <c r="A18" s="26"/>
      <c r="B18" s="26"/>
      <c r="C18" s="26"/>
      <c r="D18" s="26"/>
      <c r="O18">
        <v>2527</v>
      </c>
      <c r="P18">
        <v>2215</v>
      </c>
      <c r="Q18">
        <v>3978</v>
      </c>
    </row>
    <row r="19" spans="1:17" x14ac:dyDescent="0.3">
      <c r="A19" s="26"/>
      <c r="B19" s="26"/>
      <c r="C19" s="26"/>
      <c r="D19" s="26"/>
      <c r="O19">
        <v>3176</v>
      </c>
      <c r="P19">
        <v>512</v>
      </c>
      <c r="Q19">
        <v>1329</v>
      </c>
    </row>
    <row r="20" spans="1:17" x14ac:dyDescent="0.3">
      <c r="A20" s="26"/>
      <c r="B20" s="26"/>
      <c r="C20" s="26"/>
      <c r="D20" s="26"/>
      <c r="O20">
        <v>3683</v>
      </c>
      <c r="P20">
        <v>2305</v>
      </c>
      <c r="Q20">
        <v>1301</v>
      </c>
    </row>
    <row r="21" spans="1:17" x14ac:dyDescent="0.3">
      <c r="A21" s="26"/>
      <c r="B21" s="26"/>
      <c r="C21" s="26"/>
      <c r="D21" s="26"/>
      <c r="O21">
        <v>905</v>
      </c>
      <c r="P21">
        <v>1600</v>
      </c>
      <c r="Q21">
        <v>3081</v>
      </c>
    </row>
    <row r="22" spans="1:17" x14ac:dyDescent="0.3">
      <c r="A22" s="26"/>
      <c r="B22" s="26"/>
      <c r="C22" s="26"/>
      <c r="D22" s="26"/>
      <c r="O22">
        <v>1394</v>
      </c>
      <c r="P22">
        <v>1136</v>
      </c>
      <c r="Q22">
        <v>695</v>
      </c>
    </row>
    <row r="23" spans="1:17" x14ac:dyDescent="0.3">
      <c r="A23" s="26"/>
      <c r="B23" s="26"/>
      <c r="C23" s="26"/>
      <c r="D23" s="26"/>
      <c r="O23">
        <v>2027</v>
      </c>
      <c r="P23">
        <v>2141</v>
      </c>
      <c r="Q23">
        <v>3196</v>
      </c>
    </row>
    <row r="24" spans="1:17" x14ac:dyDescent="0.3">
      <c r="A24" s="26"/>
      <c r="B24" s="26"/>
      <c r="C24" s="26"/>
      <c r="D24" s="26"/>
      <c r="O24">
        <v>3796</v>
      </c>
      <c r="P24">
        <v>3425</v>
      </c>
      <c r="Q24">
        <v>3268</v>
      </c>
    </row>
    <row r="25" spans="1:17" x14ac:dyDescent="0.3">
      <c r="A25" s="26"/>
      <c r="B25" s="26"/>
      <c r="C25" s="26"/>
      <c r="D25" s="26"/>
      <c r="O25">
        <v>2006</v>
      </c>
      <c r="P25">
        <v>3693</v>
      </c>
      <c r="Q25">
        <v>3891</v>
      </c>
    </row>
    <row r="26" spans="1:17" x14ac:dyDescent="0.3">
      <c r="O26">
        <v>2215</v>
      </c>
      <c r="P26">
        <v>928</v>
      </c>
      <c r="Q26">
        <v>1387</v>
      </c>
    </row>
    <row r="27" spans="1:17" x14ac:dyDescent="0.3">
      <c r="O27">
        <v>2210</v>
      </c>
      <c r="P27">
        <v>2214</v>
      </c>
      <c r="Q27">
        <v>853</v>
      </c>
    </row>
    <row r="28" spans="1:17" x14ac:dyDescent="0.3">
      <c r="O28">
        <v>744</v>
      </c>
      <c r="P28">
        <v>1710</v>
      </c>
      <c r="Q28">
        <v>3353</v>
      </c>
    </row>
    <row r="29" spans="1:17" x14ac:dyDescent="0.3">
      <c r="O29">
        <v>1240</v>
      </c>
      <c r="P29">
        <v>3655</v>
      </c>
      <c r="Q29">
        <v>877</v>
      </c>
    </row>
    <row r="30" spans="1:17" x14ac:dyDescent="0.3">
      <c r="O30">
        <v>547</v>
      </c>
      <c r="P30">
        <v>3498</v>
      </c>
      <c r="Q30">
        <v>910</v>
      </c>
    </row>
    <row r="31" spans="1:17" x14ac:dyDescent="0.3">
      <c r="O31">
        <v>2418</v>
      </c>
      <c r="P31">
        <v>786</v>
      </c>
      <c r="Q31">
        <v>2283</v>
      </c>
    </row>
    <row r="32" spans="1:17" x14ac:dyDescent="0.3">
      <c r="O32">
        <v>1784</v>
      </c>
      <c r="P32">
        <v>3285</v>
      </c>
      <c r="Q32">
        <v>827</v>
      </c>
    </row>
    <row r="33" spans="15:17" x14ac:dyDescent="0.3">
      <c r="O33">
        <v>2901</v>
      </c>
      <c r="P33">
        <v>3351</v>
      </c>
      <c r="Q33">
        <v>3342</v>
      </c>
    </row>
    <row r="34" spans="15:17" x14ac:dyDescent="0.3">
      <c r="O34">
        <v>3568</v>
      </c>
      <c r="P34">
        <v>2746</v>
      </c>
      <c r="Q34">
        <v>1222</v>
      </c>
    </row>
    <row r="35" spans="15:17" x14ac:dyDescent="0.3">
      <c r="O35">
        <v>2210</v>
      </c>
      <c r="P35">
        <v>2663</v>
      </c>
      <c r="Q35">
        <v>665</v>
      </c>
    </row>
    <row r="36" spans="15:17" x14ac:dyDescent="0.3">
      <c r="O36">
        <v>3118</v>
      </c>
      <c r="P36">
        <v>1673</v>
      </c>
      <c r="Q36">
        <v>3598</v>
      </c>
    </row>
    <row r="37" spans="15:17" x14ac:dyDescent="0.3">
      <c r="O37">
        <v>540</v>
      </c>
      <c r="P37">
        <v>1613</v>
      </c>
      <c r="Q37">
        <v>3463</v>
      </c>
    </row>
    <row r="38" spans="15:17" x14ac:dyDescent="0.3">
      <c r="O38">
        <v>3409</v>
      </c>
      <c r="P38">
        <v>1163</v>
      </c>
      <c r="Q38">
        <v>2694</v>
      </c>
    </row>
    <row r="39" spans="15:17" x14ac:dyDescent="0.3">
      <c r="O39">
        <v>2442</v>
      </c>
      <c r="P39">
        <v>896</v>
      </c>
      <c r="Q39">
        <v>3829</v>
      </c>
    </row>
    <row r="40" spans="15:17" x14ac:dyDescent="0.3">
      <c r="O40">
        <v>3667</v>
      </c>
      <c r="P40">
        <v>1211</v>
      </c>
      <c r="Q40">
        <v>2866</v>
      </c>
    </row>
    <row r="41" spans="15:17" x14ac:dyDescent="0.3">
      <c r="O41">
        <v>2662</v>
      </c>
      <c r="P41">
        <v>2819</v>
      </c>
      <c r="Q41">
        <v>3430</v>
      </c>
    </row>
    <row r="42" spans="15:17" x14ac:dyDescent="0.3">
      <c r="O42">
        <v>2863</v>
      </c>
      <c r="P42">
        <v>2210</v>
      </c>
      <c r="Q42">
        <v>676</v>
      </c>
    </row>
    <row r="43" spans="15:17" x14ac:dyDescent="0.3">
      <c r="O43">
        <v>2879</v>
      </c>
      <c r="P43">
        <v>2133</v>
      </c>
      <c r="Q43">
        <v>1514</v>
      </c>
    </row>
    <row r="44" spans="15:17" x14ac:dyDescent="0.3">
      <c r="O44">
        <v>918</v>
      </c>
      <c r="P44">
        <v>3959</v>
      </c>
      <c r="Q44">
        <v>3194</v>
      </c>
    </row>
    <row r="45" spans="15:17" x14ac:dyDescent="0.3">
      <c r="O45">
        <v>3000</v>
      </c>
      <c r="P45">
        <v>944</v>
      </c>
      <c r="Q45">
        <v>1658</v>
      </c>
    </row>
    <row r="46" spans="15:17" x14ac:dyDescent="0.3">
      <c r="O46">
        <v>1279</v>
      </c>
      <c r="P46">
        <v>2099</v>
      </c>
      <c r="Q46">
        <v>3332</v>
      </c>
    </row>
    <row r="47" spans="15:17" x14ac:dyDescent="0.3">
      <c r="O47">
        <v>1531</v>
      </c>
      <c r="P47">
        <v>1684</v>
      </c>
      <c r="Q47">
        <v>2137</v>
      </c>
    </row>
    <row r="48" spans="15:17" x14ac:dyDescent="0.3">
      <c r="O48">
        <v>1330</v>
      </c>
      <c r="P48">
        <v>1405</v>
      </c>
      <c r="Q48">
        <v>3781</v>
      </c>
    </row>
    <row r="49" spans="15:17" x14ac:dyDescent="0.3">
      <c r="O49">
        <v>742</v>
      </c>
      <c r="P49">
        <v>2207</v>
      </c>
      <c r="Q49">
        <v>2380</v>
      </c>
    </row>
    <row r="50" spans="15:17" x14ac:dyDescent="0.3">
      <c r="O50">
        <v>2173</v>
      </c>
      <c r="P50">
        <v>1528</v>
      </c>
      <c r="Q50">
        <v>1274</v>
      </c>
    </row>
    <row r="51" spans="15:17" x14ac:dyDescent="0.3">
      <c r="O51">
        <v>2931</v>
      </c>
      <c r="P51">
        <v>1784</v>
      </c>
      <c r="Q51">
        <v>3432</v>
      </c>
    </row>
    <row r="52" spans="15:17" x14ac:dyDescent="0.3">
      <c r="O52">
        <v>3399</v>
      </c>
      <c r="P52">
        <v>2790</v>
      </c>
      <c r="Q52">
        <v>2887</v>
      </c>
    </row>
    <row r="53" spans="15:17" x14ac:dyDescent="0.3">
      <c r="O53">
        <v>815</v>
      </c>
      <c r="P53">
        <v>2387</v>
      </c>
      <c r="Q53">
        <v>3883</v>
      </c>
    </row>
    <row r="54" spans="15:17" x14ac:dyDescent="0.3">
      <c r="O54">
        <v>1022</v>
      </c>
      <c r="P54">
        <v>1915</v>
      </c>
      <c r="Q54">
        <v>3270</v>
      </c>
    </row>
    <row r="55" spans="15:17" x14ac:dyDescent="0.3">
      <c r="O55">
        <v>925</v>
      </c>
      <c r="P55">
        <v>3849</v>
      </c>
      <c r="Q55">
        <v>822</v>
      </c>
    </row>
    <row r="56" spans="15:17" x14ac:dyDescent="0.3">
      <c r="O56">
        <v>3082</v>
      </c>
      <c r="P56">
        <v>1678</v>
      </c>
      <c r="Q56">
        <v>3066</v>
      </c>
    </row>
    <row r="57" spans="15:17" x14ac:dyDescent="0.3">
      <c r="O57">
        <v>3150</v>
      </c>
      <c r="P57">
        <v>2099</v>
      </c>
      <c r="Q57">
        <v>623</v>
      </c>
    </row>
    <row r="58" spans="15:17" x14ac:dyDescent="0.3">
      <c r="O58">
        <v>2539</v>
      </c>
      <c r="P58">
        <v>3109</v>
      </c>
      <c r="Q58">
        <v>3592</v>
      </c>
    </row>
    <row r="59" spans="15:17" x14ac:dyDescent="0.3">
      <c r="O59">
        <v>1007</v>
      </c>
      <c r="P59">
        <v>2099</v>
      </c>
      <c r="Q59">
        <v>3753</v>
      </c>
    </row>
    <row r="60" spans="15:17" x14ac:dyDescent="0.3">
      <c r="O60">
        <v>972</v>
      </c>
      <c r="P60">
        <v>3259</v>
      </c>
      <c r="Q60">
        <v>559</v>
      </c>
    </row>
    <row r="61" spans="15:17" x14ac:dyDescent="0.3">
      <c r="O61">
        <v>3170</v>
      </c>
      <c r="Q61">
        <v>2626</v>
      </c>
    </row>
    <row r="62" spans="15:17" x14ac:dyDescent="0.3">
      <c r="O62">
        <v>2650</v>
      </c>
      <c r="Q62">
        <v>1455</v>
      </c>
    </row>
    <row r="63" spans="15:17" x14ac:dyDescent="0.3">
      <c r="O63">
        <v>3954</v>
      </c>
      <c r="Q63">
        <v>532</v>
      </c>
    </row>
    <row r="64" spans="15:17" x14ac:dyDescent="0.3">
      <c r="O64">
        <v>2577</v>
      </c>
      <c r="Q64">
        <v>3001</v>
      </c>
    </row>
    <row r="65" spans="15:17" x14ac:dyDescent="0.3">
      <c r="O65">
        <v>2498</v>
      </c>
      <c r="Q65">
        <v>3575</v>
      </c>
    </row>
    <row r="66" spans="15:17" x14ac:dyDescent="0.3">
      <c r="O66">
        <v>1121</v>
      </c>
      <c r="Q66">
        <v>1828</v>
      </c>
    </row>
    <row r="67" spans="15:17" x14ac:dyDescent="0.3">
      <c r="O67">
        <v>3402</v>
      </c>
      <c r="Q67">
        <v>1486</v>
      </c>
    </row>
    <row r="68" spans="15:17" x14ac:dyDescent="0.3">
      <c r="O68">
        <v>3477</v>
      </c>
      <c r="Q68">
        <v>2404</v>
      </c>
    </row>
    <row r="69" spans="15:17" x14ac:dyDescent="0.3">
      <c r="O69">
        <v>1243</v>
      </c>
      <c r="Q69">
        <v>3930</v>
      </c>
    </row>
    <row r="70" spans="15:17" x14ac:dyDescent="0.3">
      <c r="O70">
        <v>1819</v>
      </c>
      <c r="Q70">
        <v>3391</v>
      </c>
    </row>
    <row r="71" spans="15:17" x14ac:dyDescent="0.3">
      <c r="O71">
        <v>977</v>
      </c>
      <c r="Q71">
        <v>1440</v>
      </c>
    </row>
    <row r="72" spans="15:17" x14ac:dyDescent="0.3">
      <c r="O72">
        <v>1904</v>
      </c>
      <c r="Q72">
        <v>2882</v>
      </c>
    </row>
    <row r="73" spans="15:17" x14ac:dyDescent="0.3">
      <c r="O73">
        <v>3645</v>
      </c>
      <c r="Q73">
        <v>2985</v>
      </c>
    </row>
    <row r="74" spans="15:17" x14ac:dyDescent="0.3">
      <c r="O74">
        <v>3934</v>
      </c>
      <c r="Q74">
        <v>3092</v>
      </c>
    </row>
    <row r="75" spans="15:17" x14ac:dyDescent="0.3">
      <c r="O75">
        <v>2281</v>
      </c>
      <c r="Q75">
        <v>3898</v>
      </c>
    </row>
    <row r="76" spans="15:17" x14ac:dyDescent="0.3">
      <c r="O76">
        <v>2820</v>
      </c>
      <c r="Q76">
        <v>502</v>
      </c>
    </row>
    <row r="77" spans="15:17" x14ac:dyDescent="0.3">
      <c r="O77">
        <v>1156</v>
      </c>
      <c r="Q77">
        <v>2215</v>
      </c>
    </row>
    <row r="78" spans="15:17" x14ac:dyDescent="0.3">
      <c r="O78">
        <v>2718</v>
      </c>
      <c r="Q78">
        <v>1338</v>
      </c>
    </row>
    <row r="79" spans="15:17" x14ac:dyDescent="0.3">
      <c r="O79">
        <v>1678</v>
      </c>
      <c r="Q79">
        <v>2434</v>
      </c>
    </row>
    <row r="80" spans="15:17" x14ac:dyDescent="0.3">
      <c r="O80">
        <v>3299</v>
      </c>
      <c r="Q80">
        <v>3452</v>
      </c>
    </row>
    <row r="81" spans="15:17" x14ac:dyDescent="0.3">
      <c r="O81">
        <v>2574</v>
      </c>
      <c r="Q81">
        <v>891</v>
      </c>
    </row>
    <row r="82" spans="15:17" x14ac:dyDescent="0.3">
      <c r="O82">
        <v>2330</v>
      </c>
      <c r="Q82">
        <v>2468</v>
      </c>
    </row>
    <row r="83" spans="15:17" x14ac:dyDescent="0.3">
      <c r="O83">
        <v>2755</v>
      </c>
      <c r="Q83">
        <v>2534</v>
      </c>
    </row>
    <row r="84" spans="15:17" x14ac:dyDescent="0.3">
      <c r="O84">
        <v>1150</v>
      </c>
      <c r="Q84">
        <v>2377</v>
      </c>
    </row>
    <row r="85" spans="15:17" x14ac:dyDescent="0.3">
      <c r="O85">
        <v>3251</v>
      </c>
      <c r="Q85">
        <v>2925</v>
      </c>
    </row>
    <row r="86" spans="15:17" x14ac:dyDescent="0.3">
      <c r="O86">
        <v>1767</v>
      </c>
      <c r="Q86">
        <v>3739</v>
      </c>
    </row>
    <row r="87" spans="15:17" x14ac:dyDescent="0.3">
      <c r="O87">
        <v>3213</v>
      </c>
      <c r="Q87">
        <v>824</v>
      </c>
    </row>
    <row r="88" spans="15:17" x14ac:dyDescent="0.3">
      <c r="O88">
        <v>3944</v>
      </c>
      <c r="Q88">
        <v>2016</v>
      </c>
    </row>
    <row r="89" spans="15:17" x14ac:dyDescent="0.3">
      <c r="O89">
        <v>3718</v>
      </c>
      <c r="Q89">
        <v>1012</v>
      </c>
    </row>
    <row r="90" spans="15:17" x14ac:dyDescent="0.3">
      <c r="O90">
        <v>1748</v>
      </c>
      <c r="Q90">
        <v>2012</v>
      </c>
    </row>
    <row r="91" spans="15:17" x14ac:dyDescent="0.3">
      <c r="O91">
        <v>3521</v>
      </c>
      <c r="Q91">
        <v>1477</v>
      </c>
    </row>
    <row r="92" spans="15:17" x14ac:dyDescent="0.3">
      <c r="O92">
        <v>3104</v>
      </c>
      <c r="Q92">
        <v>3972</v>
      </c>
    </row>
    <row r="93" spans="15:17" x14ac:dyDescent="0.3">
      <c r="O93">
        <v>3533</v>
      </c>
      <c r="Q93">
        <v>2038</v>
      </c>
    </row>
    <row r="94" spans="15:17" x14ac:dyDescent="0.3">
      <c r="O94">
        <v>3411</v>
      </c>
      <c r="Q94">
        <v>995</v>
      </c>
    </row>
    <row r="95" spans="15:17" x14ac:dyDescent="0.3">
      <c r="O95">
        <v>1415</v>
      </c>
      <c r="Q95">
        <v>2661</v>
      </c>
    </row>
    <row r="96" spans="15:17" x14ac:dyDescent="0.3">
      <c r="O96">
        <v>512</v>
      </c>
      <c r="Q96">
        <v>1664</v>
      </c>
    </row>
    <row r="97" spans="15:17" x14ac:dyDescent="0.3">
      <c r="O97">
        <v>1457</v>
      </c>
      <c r="Q97">
        <v>3172</v>
      </c>
    </row>
    <row r="98" spans="15:17" x14ac:dyDescent="0.3">
      <c r="O98">
        <v>1025</v>
      </c>
      <c r="Q98">
        <v>1408</v>
      </c>
    </row>
    <row r="99" spans="15:17" x14ac:dyDescent="0.3">
      <c r="O99">
        <v>1228</v>
      </c>
      <c r="Q99">
        <v>825</v>
      </c>
    </row>
    <row r="100" spans="15:17" x14ac:dyDescent="0.3">
      <c r="O100">
        <v>3294</v>
      </c>
      <c r="Q100">
        <v>833</v>
      </c>
    </row>
    <row r="101" spans="15:17" x14ac:dyDescent="0.3">
      <c r="O101">
        <v>3717</v>
      </c>
      <c r="Q101">
        <v>3342</v>
      </c>
    </row>
    <row r="102" spans="15:17" x14ac:dyDescent="0.3">
      <c r="O102">
        <v>605</v>
      </c>
      <c r="Q102">
        <v>2065</v>
      </c>
    </row>
    <row r="103" spans="15:17" x14ac:dyDescent="0.3">
      <c r="O103">
        <v>2121</v>
      </c>
      <c r="Q103">
        <v>3466</v>
      </c>
    </row>
    <row r="104" spans="15:17" x14ac:dyDescent="0.3">
      <c r="O104">
        <v>1504</v>
      </c>
      <c r="Q104">
        <v>969</v>
      </c>
    </row>
    <row r="105" spans="15:17" x14ac:dyDescent="0.3">
      <c r="O105">
        <v>3440</v>
      </c>
      <c r="Q105">
        <v>2290</v>
      </c>
    </row>
    <row r="106" spans="15:17" x14ac:dyDescent="0.3">
      <c r="O106">
        <v>2479</v>
      </c>
      <c r="Q106">
        <v>3481</v>
      </c>
    </row>
    <row r="107" spans="15:17" x14ac:dyDescent="0.3">
      <c r="O107">
        <v>1468</v>
      </c>
      <c r="Q107">
        <v>2458</v>
      </c>
    </row>
    <row r="108" spans="15:17" x14ac:dyDescent="0.3">
      <c r="O108">
        <v>1845</v>
      </c>
      <c r="Q108">
        <v>2378</v>
      </c>
    </row>
    <row r="109" spans="15:17" x14ac:dyDescent="0.3">
      <c r="O109">
        <v>713</v>
      </c>
      <c r="Q109">
        <v>1190</v>
      </c>
    </row>
    <row r="110" spans="15:17" x14ac:dyDescent="0.3">
      <c r="O110">
        <v>2390</v>
      </c>
      <c r="Q110">
        <v>1161</v>
      </c>
    </row>
    <row r="111" spans="15:17" x14ac:dyDescent="0.3">
      <c r="O111">
        <v>1058</v>
      </c>
      <c r="Q111">
        <v>2874</v>
      </c>
    </row>
    <row r="112" spans="15:17" x14ac:dyDescent="0.3">
      <c r="O112">
        <v>1731</v>
      </c>
      <c r="Q112">
        <v>1865</v>
      </c>
    </row>
    <row r="113" spans="15:17" x14ac:dyDescent="0.3">
      <c r="O113">
        <v>1735</v>
      </c>
      <c r="Q113">
        <v>2098</v>
      </c>
    </row>
    <row r="114" spans="15:17" x14ac:dyDescent="0.3">
      <c r="O114">
        <v>880</v>
      </c>
      <c r="Q114">
        <v>2463</v>
      </c>
    </row>
    <row r="115" spans="15:17" x14ac:dyDescent="0.3">
      <c r="O115">
        <v>1208</v>
      </c>
      <c r="Q115">
        <v>2521</v>
      </c>
    </row>
    <row r="116" spans="15:17" x14ac:dyDescent="0.3">
      <c r="O116">
        <v>1897</v>
      </c>
      <c r="Q116">
        <v>616</v>
      </c>
    </row>
    <row r="117" spans="15:17" x14ac:dyDescent="0.3">
      <c r="O117">
        <v>731</v>
      </c>
      <c r="Q117">
        <v>1832</v>
      </c>
    </row>
    <row r="118" spans="15:17" x14ac:dyDescent="0.3">
      <c r="O118">
        <v>930</v>
      </c>
      <c r="Q118">
        <v>1200</v>
      </c>
    </row>
    <row r="119" spans="15:17" x14ac:dyDescent="0.3">
      <c r="O119">
        <v>2408</v>
      </c>
      <c r="Q119">
        <v>840</v>
      </c>
    </row>
    <row r="120" spans="15:17" x14ac:dyDescent="0.3">
      <c r="O120">
        <v>506</v>
      </c>
      <c r="Q120">
        <v>2666</v>
      </c>
    </row>
    <row r="121" spans="15:17" x14ac:dyDescent="0.3">
      <c r="O121">
        <v>1621</v>
      </c>
      <c r="Q121">
        <v>2211</v>
      </c>
    </row>
    <row r="122" spans="15:17" x14ac:dyDescent="0.3">
      <c r="Q122">
        <v>2891</v>
      </c>
    </row>
    <row r="123" spans="15:17" x14ac:dyDescent="0.3">
      <c r="Q123">
        <v>2920</v>
      </c>
    </row>
    <row r="124" spans="15:17" x14ac:dyDescent="0.3">
      <c r="Q124">
        <v>3686</v>
      </c>
    </row>
    <row r="125" spans="15:17" x14ac:dyDescent="0.3">
      <c r="Q125">
        <v>1400</v>
      </c>
    </row>
    <row r="126" spans="15:17" x14ac:dyDescent="0.3">
      <c r="Q126">
        <v>3556</v>
      </c>
    </row>
    <row r="127" spans="15:17" x14ac:dyDescent="0.3">
      <c r="Q127">
        <v>3680</v>
      </c>
    </row>
    <row r="128" spans="15:17" x14ac:dyDescent="0.3">
      <c r="Q128">
        <v>3298</v>
      </c>
    </row>
    <row r="129" spans="17:17" x14ac:dyDescent="0.3">
      <c r="Q129">
        <v>1464</v>
      </c>
    </row>
    <row r="130" spans="17:17" x14ac:dyDescent="0.3">
      <c r="Q130">
        <v>896</v>
      </c>
    </row>
    <row r="131" spans="17:17" x14ac:dyDescent="0.3">
      <c r="Q131">
        <v>3979</v>
      </c>
    </row>
    <row r="132" spans="17:17" x14ac:dyDescent="0.3">
      <c r="Q132">
        <v>766</v>
      </c>
    </row>
    <row r="133" spans="17:17" x14ac:dyDescent="0.3">
      <c r="Q133">
        <v>2772</v>
      </c>
    </row>
    <row r="134" spans="17:17" x14ac:dyDescent="0.3">
      <c r="Q134">
        <v>2393</v>
      </c>
    </row>
    <row r="135" spans="17:17" x14ac:dyDescent="0.3">
      <c r="Q135">
        <v>3643</v>
      </c>
    </row>
    <row r="136" spans="17:17" x14ac:dyDescent="0.3">
      <c r="Q136">
        <v>2568</v>
      </c>
    </row>
    <row r="137" spans="17:17" x14ac:dyDescent="0.3">
      <c r="Q137">
        <v>1941</v>
      </c>
    </row>
    <row r="138" spans="17:17" x14ac:dyDescent="0.3">
      <c r="Q138">
        <v>2085</v>
      </c>
    </row>
    <row r="139" spans="17:17" x14ac:dyDescent="0.3">
      <c r="Q139">
        <v>2210</v>
      </c>
    </row>
    <row r="140" spans="17:17" x14ac:dyDescent="0.3">
      <c r="Q140">
        <v>1871</v>
      </c>
    </row>
    <row r="141" spans="17:17" x14ac:dyDescent="0.3">
      <c r="Q141">
        <v>668</v>
      </c>
    </row>
    <row r="142" spans="17:17" x14ac:dyDescent="0.3">
      <c r="Q142">
        <v>1662</v>
      </c>
    </row>
    <row r="143" spans="17:17" x14ac:dyDescent="0.3">
      <c r="Q143">
        <v>2556</v>
      </c>
    </row>
    <row r="144" spans="17:17" x14ac:dyDescent="0.3">
      <c r="Q144">
        <v>1876</v>
      </c>
    </row>
    <row r="145" spans="17:17" x14ac:dyDescent="0.3">
      <c r="Q145">
        <v>746</v>
      </c>
    </row>
    <row r="146" spans="17:17" x14ac:dyDescent="0.3">
      <c r="Q146">
        <v>2985</v>
      </c>
    </row>
    <row r="147" spans="17:17" x14ac:dyDescent="0.3">
      <c r="Q147">
        <v>2351</v>
      </c>
    </row>
    <row r="148" spans="17:17" x14ac:dyDescent="0.3">
      <c r="Q148">
        <v>999</v>
      </c>
    </row>
    <row r="149" spans="17:17" x14ac:dyDescent="0.3">
      <c r="Q149">
        <v>2776</v>
      </c>
    </row>
    <row r="150" spans="17:17" x14ac:dyDescent="0.3">
      <c r="Q150">
        <v>1675</v>
      </c>
    </row>
    <row r="151" spans="17:17" x14ac:dyDescent="0.3">
      <c r="Q151">
        <v>2436</v>
      </c>
    </row>
    <row r="152" spans="17:17" x14ac:dyDescent="0.3">
      <c r="Q152">
        <v>2566</v>
      </c>
    </row>
    <row r="153" spans="17:17" x14ac:dyDescent="0.3">
      <c r="Q153">
        <v>2468</v>
      </c>
    </row>
    <row r="154" spans="17:17" x14ac:dyDescent="0.3">
      <c r="Q154">
        <v>3061</v>
      </c>
    </row>
    <row r="155" spans="17:17" x14ac:dyDescent="0.3">
      <c r="Q155">
        <v>1047</v>
      </c>
    </row>
    <row r="156" spans="17:17" x14ac:dyDescent="0.3">
      <c r="Q156">
        <v>550</v>
      </c>
    </row>
    <row r="157" spans="17:17" x14ac:dyDescent="0.3">
      <c r="Q157">
        <v>3654</v>
      </c>
    </row>
    <row r="158" spans="17:17" x14ac:dyDescent="0.3">
      <c r="Q158">
        <v>1753</v>
      </c>
    </row>
    <row r="159" spans="17:17" x14ac:dyDescent="0.3">
      <c r="Q159">
        <v>2794</v>
      </c>
    </row>
    <row r="160" spans="17:17" x14ac:dyDescent="0.3">
      <c r="Q160">
        <v>2455</v>
      </c>
    </row>
    <row r="161" spans="17:17" x14ac:dyDescent="0.3">
      <c r="Q161">
        <v>2827</v>
      </c>
    </row>
    <row r="162" spans="17:17" x14ac:dyDescent="0.3">
      <c r="Q162">
        <v>3371</v>
      </c>
    </row>
    <row r="163" spans="17:17" x14ac:dyDescent="0.3">
      <c r="Q163">
        <v>705</v>
      </c>
    </row>
    <row r="164" spans="17:17" x14ac:dyDescent="0.3">
      <c r="Q164">
        <v>525</v>
      </c>
    </row>
    <row r="165" spans="17:17" x14ac:dyDescent="0.3">
      <c r="Q165">
        <v>3012</v>
      </c>
    </row>
    <row r="166" spans="17:17" x14ac:dyDescent="0.3">
      <c r="Q166">
        <v>1137</v>
      </c>
    </row>
    <row r="167" spans="17:17" x14ac:dyDescent="0.3">
      <c r="Q167">
        <v>1711</v>
      </c>
    </row>
    <row r="168" spans="17:17" x14ac:dyDescent="0.3">
      <c r="Q168">
        <v>3603</v>
      </c>
    </row>
    <row r="169" spans="17:17" x14ac:dyDescent="0.3">
      <c r="Q169">
        <v>1946</v>
      </c>
    </row>
    <row r="170" spans="17:17" x14ac:dyDescent="0.3">
      <c r="Q170">
        <v>664</v>
      </c>
    </row>
    <row r="171" spans="17:17" x14ac:dyDescent="0.3">
      <c r="Q171">
        <v>2738</v>
      </c>
    </row>
    <row r="172" spans="17:17" x14ac:dyDescent="0.3">
      <c r="Q172">
        <v>3046</v>
      </c>
    </row>
    <row r="173" spans="17:17" x14ac:dyDescent="0.3">
      <c r="Q173">
        <v>2757</v>
      </c>
    </row>
    <row r="174" spans="17:17" x14ac:dyDescent="0.3">
      <c r="Q174">
        <v>2691</v>
      </c>
    </row>
    <row r="175" spans="17:17" x14ac:dyDescent="0.3">
      <c r="Q175">
        <v>3830</v>
      </c>
    </row>
    <row r="176" spans="17:17" x14ac:dyDescent="0.3">
      <c r="Q176">
        <v>1727</v>
      </c>
    </row>
    <row r="177" spans="17:17" x14ac:dyDescent="0.3">
      <c r="Q177">
        <v>2178</v>
      </c>
    </row>
    <row r="178" spans="17:17" x14ac:dyDescent="0.3">
      <c r="Q178">
        <v>2303</v>
      </c>
    </row>
    <row r="179" spans="17:17" x14ac:dyDescent="0.3">
      <c r="Q179">
        <v>3329</v>
      </c>
    </row>
    <row r="180" spans="17:17" x14ac:dyDescent="0.3">
      <c r="Q180">
        <v>2911</v>
      </c>
    </row>
    <row r="181" spans="17:17" x14ac:dyDescent="0.3">
      <c r="Q181">
        <v>3588</v>
      </c>
    </row>
    <row r="182" spans="17:17" x14ac:dyDescent="0.3">
      <c r="Q182">
        <v>2476</v>
      </c>
    </row>
    <row r="183" spans="17:17" x14ac:dyDescent="0.3">
      <c r="Q183">
        <v>2955</v>
      </c>
    </row>
    <row r="184" spans="17:17" x14ac:dyDescent="0.3">
      <c r="Q184">
        <v>1776</v>
      </c>
    </row>
    <row r="185" spans="17:17" x14ac:dyDescent="0.3">
      <c r="Q185">
        <v>2440</v>
      </c>
    </row>
    <row r="186" spans="17:17" x14ac:dyDescent="0.3">
      <c r="Q186">
        <v>2849</v>
      </c>
    </row>
    <row r="187" spans="17:17" x14ac:dyDescent="0.3">
      <c r="Q187">
        <v>3127</v>
      </c>
    </row>
    <row r="188" spans="17:17" x14ac:dyDescent="0.3">
      <c r="Q188">
        <v>2125</v>
      </c>
    </row>
    <row r="189" spans="17:17" x14ac:dyDescent="0.3">
      <c r="Q189">
        <v>2736</v>
      </c>
    </row>
    <row r="190" spans="17:17" x14ac:dyDescent="0.3">
      <c r="Q190">
        <v>3469</v>
      </c>
    </row>
  </sheetData>
  <mergeCells count="2">
    <mergeCell ref="B1:D1"/>
    <mergeCell ref="O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353"/>
  <sheetViews>
    <sheetView tabSelected="1" topLeftCell="A12" workbookViewId="0">
      <selection activeCell="D37" sqref="D37"/>
    </sheetView>
  </sheetViews>
  <sheetFormatPr defaultRowHeight="14.4" x14ac:dyDescent="0.3"/>
  <cols>
    <col min="1" max="1" width="12.77734375" bestFit="1" customWidth="1"/>
    <col min="2" max="2" width="33.5546875" customWidth="1"/>
    <col min="3" max="3" width="50.109375" customWidth="1"/>
    <col min="4" max="4" width="20.21875" customWidth="1"/>
    <col min="17" max="17" width="3" customWidth="1"/>
    <col min="18" max="18" width="12.109375" customWidth="1"/>
  </cols>
  <sheetData>
    <row r="1" spans="1:19" ht="15.6" x14ac:dyDescent="0.3">
      <c r="A1" s="11"/>
      <c r="B1" s="31" t="s">
        <v>42</v>
      </c>
      <c r="C1" s="31"/>
      <c r="R1" s="32" t="s">
        <v>17</v>
      </c>
      <c r="S1" s="33"/>
    </row>
    <row r="2" spans="1:19" ht="15.6" x14ac:dyDescent="0.3">
      <c r="A2" s="11"/>
      <c r="B2" s="12" t="s">
        <v>41</v>
      </c>
      <c r="C2" s="12" t="s">
        <v>32</v>
      </c>
      <c r="R2" s="13" t="s">
        <v>41</v>
      </c>
      <c r="S2" s="13" t="s">
        <v>32</v>
      </c>
    </row>
    <row r="3" spans="1:19" ht="15.6" x14ac:dyDescent="0.3">
      <c r="A3" s="14" t="s">
        <v>29</v>
      </c>
      <c r="B3" s="20">
        <f>AVERAGE(R3:R353)</f>
        <v>154.57264957264957</v>
      </c>
      <c r="C3" s="20">
        <f>AVERAGE(S3:S16)</f>
        <v>206.35714285714286</v>
      </c>
      <c r="R3">
        <v>169</v>
      </c>
      <c r="S3">
        <v>230</v>
      </c>
    </row>
    <row r="4" spans="1:19" ht="15.6" x14ac:dyDescent="0.3">
      <c r="A4" s="14" t="s">
        <v>30</v>
      </c>
      <c r="B4" s="20">
        <f>MEDIAN(R3:R353)</f>
        <v>154</v>
      </c>
      <c r="C4" s="20">
        <f>MEDIAN(S3:S16)</f>
        <v>225.5</v>
      </c>
      <c r="R4">
        <v>225</v>
      </c>
      <c r="S4">
        <v>214</v>
      </c>
    </row>
    <row r="5" spans="1:19" ht="15.6" x14ac:dyDescent="0.3">
      <c r="A5" s="14" t="s">
        <v>31</v>
      </c>
      <c r="B5" s="20">
        <f>MODE(R3:R353)</f>
        <v>152</v>
      </c>
      <c r="C5" s="20">
        <f>MODE(S3:S16)</f>
        <v>230</v>
      </c>
      <c r="R5">
        <v>170</v>
      </c>
      <c r="S5">
        <v>279</v>
      </c>
    </row>
    <row r="6" spans="1:19" ht="15.6" x14ac:dyDescent="0.3">
      <c r="A6" s="14" t="s">
        <v>36</v>
      </c>
      <c r="B6" s="21" t="s">
        <v>45</v>
      </c>
      <c r="C6" s="21" t="s">
        <v>45</v>
      </c>
      <c r="R6">
        <v>134</v>
      </c>
      <c r="S6">
        <v>230</v>
      </c>
    </row>
    <row r="7" spans="1:19" ht="15.6" x14ac:dyDescent="0.3">
      <c r="A7" s="14" t="s">
        <v>37</v>
      </c>
      <c r="B7" s="21" t="s">
        <v>53</v>
      </c>
      <c r="C7" s="21" t="s">
        <v>54</v>
      </c>
      <c r="R7">
        <v>80</v>
      </c>
      <c r="S7">
        <v>108</v>
      </c>
    </row>
    <row r="8" spans="1:19" x14ac:dyDescent="0.3">
      <c r="R8">
        <v>215</v>
      </c>
      <c r="S8">
        <v>221</v>
      </c>
    </row>
    <row r="9" spans="1:19" x14ac:dyDescent="0.3">
      <c r="A9" s="15"/>
      <c r="B9" s="15"/>
      <c r="C9" s="15"/>
      <c r="R9">
        <v>131</v>
      </c>
      <c r="S9">
        <v>139</v>
      </c>
    </row>
    <row r="10" spans="1:19" x14ac:dyDescent="0.3">
      <c r="A10" s="15"/>
      <c r="B10" s="15"/>
      <c r="C10" s="15"/>
      <c r="R10">
        <v>179</v>
      </c>
      <c r="S10">
        <v>207</v>
      </c>
    </row>
    <row r="11" spans="1:19" x14ac:dyDescent="0.3">
      <c r="A11" s="15"/>
      <c r="B11" s="15"/>
      <c r="C11" s="15"/>
      <c r="R11">
        <v>239</v>
      </c>
      <c r="S11">
        <v>115</v>
      </c>
    </row>
    <row r="12" spans="1:19" x14ac:dyDescent="0.3">
      <c r="A12" s="15"/>
      <c r="B12" s="15"/>
      <c r="C12" s="15"/>
      <c r="R12">
        <v>122</v>
      </c>
      <c r="S12">
        <v>237</v>
      </c>
    </row>
    <row r="13" spans="1:19" x14ac:dyDescent="0.3">
      <c r="A13" s="15"/>
      <c r="B13" s="15"/>
      <c r="C13" s="15"/>
      <c r="R13">
        <v>80</v>
      </c>
      <c r="S13">
        <v>263</v>
      </c>
    </row>
    <row r="14" spans="1:19" x14ac:dyDescent="0.3">
      <c r="A14" s="15"/>
      <c r="B14" s="15"/>
      <c r="C14" s="15"/>
      <c r="R14">
        <v>237</v>
      </c>
      <c r="S14">
        <v>233</v>
      </c>
    </row>
    <row r="15" spans="1:19" x14ac:dyDescent="0.3">
      <c r="A15" s="15"/>
      <c r="B15" s="15"/>
      <c r="C15" s="15"/>
      <c r="R15">
        <v>236</v>
      </c>
      <c r="S15">
        <v>183</v>
      </c>
    </row>
    <row r="16" spans="1:19" x14ac:dyDescent="0.3">
      <c r="A16" s="15"/>
      <c r="B16" s="15"/>
      <c r="C16" s="15"/>
      <c r="R16">
        <v>175</v>
      </c>
      <c r="S16">
        <v>230</v>
      </c>
    </row>
    <row r="17" spans="1:18" x14ac:dyDescent="0.3">
      <c r="A17" s="15"/>
      <c r="B17" s="15"/>
      <c r="C17" s="15"/>
      <c r="R17">
        <v>87</v>
      </c>
    </row>
    <row r="18" spans="1:18" x14ac:dyDescent="0.3">
      <c r="A18" s="15"/>
      <c r="B18" s="15"/>
      <c r="C18" s="15"/>
      <c r="R18">
        <v>137</v>
      </c>
    </row>
    <row r="19" spans="1:18" x14ac:dyDescent="0.3">
      <c r="A19" s="15"/>
      <c r="B19" s="15"/>
      <c r="C19" s="15"/>
      <c r="R19">
        <v>113</v>
      </c>
    </row>
    <row r="20" spans="1:18" x14ac:dyDescent="0.3">
      <c r="A20" s="15"/>
      <c r="B20" s="15"/>
      <c r="C20" s="15"/>
      <c r="R20">
        <v>211</v>
      </c>
    </row>
    <row r="21" spans="1:18" x14ac:dyDescent="0.3">
      <c r="A21" s="15"/>
      <c r="B21" s="15"/>
      <c r="C21" s="15"/>
      <c r="R21">
        <v>202</v>
      </c>
    </row>
    <row r="22" spans="1:18" x14ac:dyDescent="0.3">
      <c r="A22" s="15"/>
      <c r="B22" s="15"/>
      <c r="C22" s="15"/>
      <c r="R22">
        <v>166</v>
      </c>
    </row>
    <row r="23" spans="1:18" x14ac:dyDescent="0.3">
      <c r="A23" s="15"/>
      <c r="B23" s="15"/>
      <c r="C23" s="15"/>
      <c r="R23">
        <v>231</v>
      </c>
    </row>
    <row r="24" spans="1:18" x14ac:dyDescent="0.3">
      <c r="R24">
        <v>204</v>
      </c>
    </row>
    <row r="25" spans="1:18" x14ac:dyDescent="0.3">
      <c r="R25">
        <v>170</v>
      </c>
    </row>
    <row r="26" spans="1:18" x14ac:dyDescent="0.3">
      <c r="R26">
        <v>152</v>
      </c>
    </row>
    <row r="27" spans="1:18" x14ac:dyDescent="0.3">
      <c r="R27">
        <v>132</v>
      </c>
    </row>
    <row r="28" spans="1:18" x14ac:dyDescent="0.3">
      <c r="R28">
        <v>119</v>
      </c>
    </row>
    <row r="29" spans="1:18" x14ac:dyDescent="0.3">
      <c r="R29">
        <v>208</v>
      </c>
    </row>
    <row r="30" spans="1:18" x14ac:dyDescent="0.3">
      <c r="R30">
        <v>136</v>
      </c>
    </row>
    <row r="31" spans="1:18" x14ac:dyDescent="0.3">
      <c r="R31">
        <v>66</v>
      </c>
    </row>
    <row r="32" spans="1:18" x14ac:dyDescent="0.3">
      <c r="R32">
        <v>77</v>
      </c>
    </row>
    <row r="33" spans="18:18" x14ac:dyDescent="0.3">
      <c r="R33">
        <v>60</v>
      </c>
    </row>
    <row r="34" spans="18:18" x14ac:dyDescent="0.3">
      <c r="R34">
        <v>62</v>
      </c>
    </row>
    <row r="35" spans="18:18" x14ac:dyDescent="0.3">
      <c r="R35">
        <v>100</v>
      </c>
    </row>
    <row r="36" spans="18:18" x14ac:dyDescent="0.3">
      <c r="R36">
        <v>155</v>
      </c>
    </row>
    <row r="37" spans="18:18" x14ac:dyDescent="0.3">
      <c r="R37">
        <v>60</v>
      </c>
    </row>
    <row r="38" spans="18:18" x14ac:dyDescent="0.3">
      <c r="R38">
        <v>76</v>
      </c>
    </row>
    <row r="39" spans="18:18" x14ac:dyDescent="0.3">
      <c r="R39">
        <v>240</v>
      </c>
    </row>
    <row r="40" spans="18:18" x14ac:dyDescent="0.3">
      <c r="R40">
        <v>150</v>
      </c>
    </row>
    <row r="41" spans="18:18" x14ac:dyDescent="0.3">
      <c r="R41">
        <v>112</v>
      </c>
    </row>
    <row r="42" spans="18:18" x14ac:dyDescent="0.3">
      <c r="R42">
        <v>216</v>
      </c>
    </row>
    <row r="43" spans="18:18" x14ac:dyDescent="0.3">
      <c r="R43">
        <v>126</v>
      </c>
    </row>
    <row r="44" spans="18:18" x14ac:dyDescent="0.3">
      <c r="R44">
        <v>105</v>
      </c>
    </row>
    <row r="45" spans="18:18" x14ac:dyDescent="0.3">
      <c r="R45">
        <v>182</v>
      </c>
    </row>
    <row r="46" spans="18:18" x14ac:dyDescent="0.3">
      <c r="R46">
        <v>72</v>
      </c>
    </row>
    <row r="47" spans="18:18" x14ac:dyDescent="0.3">
      <c r="R47">
        <v>199</v>
      </c>
    </row>
    <row r="48" spans="18:18" x14ac:dyDescent="0.3">
      <c r="R48">
        <v>148</v>
      </c>
    </row>
    <row r="49" spans="18:18" x14ac:dyDescent="0.3">
      <c r="R49">
        <v>236</v>
      </c>
    </row>
    <row r="50" spans="18:18" x14ac:dyDescent="0.3">
      <c r="R50">
        <v>237</v>
      </c>
    </row>
    <row r="51" spans="18:18" x14ac:dyDescent="0.3">
      <c r="R51">
        <v>80</v>
      </c>
    </row>
    <row r="52" spans="18:18" x14ac:dyDescent="0.3">
      <c r="R52">
        <v>198</v>
      </c>
    </row>
    <row r="53" spans="18:18" x14ac:dyDescent="0.3">
      <c r="R53">
        <v>95</v>
      </c>
    </row>
    <row r="54" spans="18:18" x14ac:dyDescent="0.3">
      <c r="R54">
        <v>64</v>
      </c>
    </row>
    <row r="55" spans="18:18" x14ac:dyDescent="0.3">
      <c r="R55">
        <v>102</v>
      </c>
    </row>
    <row r="56" spans="18:18" x14ac:dyDescent="0.3">
      <c r="R56">
        <v>157</v>
      </c>
    </row>
    <row r="57" spans="18:18" x14ac:dyDescent="0.3">
      <c r="R57">
        <v>86</v>
      </c>
    </row>
    <row r="58" spans="18:18" x14ac:dyDescent="0.3">
      <c r="R58">
        <v>230</v>
      </c>
    </row>
    <row r="59" spans="18:18" x14ac:dyDescent="0.3">
      <c r="R59">
        <v>229</v>
      </c>
    </row>
    <row r="60" spans="18:18" x14ac:dyDescent="0.3">
      <c r="R60">
        <v>152</v>
      </c>
    </row>
    <row r="61" spans="18:18" x14ac:dyDescent="0.3">
      <c r="R61">
        <v>138</v>
      </c>
    </row>
    <row r="62" spans="18:18" x14ac:dyDescent="0.3">
      <c r="R62">
        <v>239</v>
      </c>
    </row>
    <row r="63" spans="18:18" x14ac:dyDescent="0.3">
      <c r="R63">
        <v>209</v>
      </c>
    </row>
    <row r="64" spans="18:18" x14ac:dyDescent="0.3">
      <c r="R64">
        <v>140</v>
      </c>
    </row>
    <row r="65" spans="18:18" x14ac:dyDescent="0.3">
      <c r="R65">
        <v>179</v>
      </c>
    </row>
    <row r="66" spans="18:18" x14ac:dyDescent="0.3">
      <c r="R66">
        <v>237</v>
      </c>
    </row>
    <row r="67" spans="18:18" x14ac:dyDescent="0.3">
      <c r="R67">
        <v>166</v>
      </c>
    </row>
    <row r="68" spans="18:18" x14ac:dyDescent="0.3">
      <c r="R68">
        <v>109</v>
      </c>
    </row>
    <row r="69" spans="18:18" x14ac:dyDescent="0.3">
      <c r="R69">
        <v>94</v>
      </c>
    </row>
    <row r="70" spans="18:18" x14ac:dyDescent="0.3">
      <c r="R70">
        <v>127</v>
      </c>
    </row>
    <row r="71" spans="18:18" x14ac:dyDescent="0.3">
      <c r="R71">
        <v>237</v>
      </c>
    </row>
    <row r="72" spans="18:18" x14ac:dyDescent="0.3">
      <c r="R72">
        <v>220</v>
      </c>
    </row>
    <row r="73" spans="18:18" x14ac:dyDescent="0.3">
      <c r="R73">
        <v>152</v>
      </c>
    </row>
    <row r="74" spans="18:18" x14ac:dyDescent="0.3">
      <c r="R74">
        <v>112</v>
      </c>
    </row>
    <row r="75" spans="18:18" x14ac:dyDescent="0.3">
      <c r="R75">
        <v>72</v>
      </c>
    </row>
    <row r="76" spans="18:18" x14ac:dyDescent="0.3">
      <c r="R76">
        <v>107</v>
      </c>
    </row>
    <row r="77" spans="18:18" x14ac:dyDescent="0.3">
      <c r="R77">
        <v>159</v>
      </c>
    </row>
    <row r="78" spans="18:18" x14ac:dyDescent="0.3">
      <c r="R78">
        <v>194</v>
      </c>
    </row>
    <row r="79" spans="18:18" x14ac:dyDescent="0.3">
      <c r="R79">
        <v>74</v>
      </c>
    </row>
    <row r="80" spans="18:18" x14ac:dyDescent="0.3">
      <c r="R80">
        <v>203</v>
      </c>
    </row>
    <row r="81" spans="18:18" x14ac:dyDescent="0.3">
      <c r="R81">
        <v>232</v>
      </c>
    </row>
    <row r="82" spans="18:18" x14ac:dyDescent="0.3">
      <c r="R82">
        <v>152</v>
      </c>
    </row>
    <row r="83" spans="18:18" x14ac:dyDescent="0.3">
      <c r="R83">
        <v>192</v>
      </c>
    </row>
    <row r="84" spans="18:18" x14ac:dyDescent="0.3">
      <c r="R84">
        <v>168</v>
      </c>
    </row>
    <row r="85" spans="18:18" x14ac:dyDescent="0.3">
      <c r="R85">
        <v>165</v>
      </c>
    </row>
    <row r="86" spans="18:18" x14ac:dyDescent="0.3">
      <c r="R86">
        <v>76</v>
      </c>
    </row>
    <row r="87" spans="18:18" x14ac:dyDescent="0.3">
      <c r="R87">
        <v>136</v>
      </c>
    </row>
    <row r="88" spans="18:18" x14ac:dyDescent="0.3">
      <c r="R88">
        <v>200</v>
      </c>
    </row>
    <row r="89" spans="18:18" x14ac:dyDescent="0.3">
      <c r="R89">
        <v>105</v>
      </c>
    </row>
    <row r="90" spans="18:18" x14ac:dyDescent="0.3">
      <c r="R90">
        <v>189</v>
      </c>
    </row>
    <row r="91" spans="18:18" x14ac:dyDescent="0.3">
      <c r="R91">
        <v>195</v>
      </c>
    </row>
    <row r="92" spans="18:18" x14ac:dyDescent="0.3">
      <c r="R92">
        <v>198</v>
      </c>
    </row>
    <row r="93" spans="18:18" x14ac:dyDescent="0.3">
      <c r="R93">
        <v>77</v>
      </c>
    </row>
    <row r="94" spans="18:18" x14ac:dyDescent="0.3">
      <c r="R94">
        <v>75</v>
      </c>
    </row>
    <row r="95" spans="18:18" x14ac:dyDescent="0.3">
      <c r="R95">
        <v>122</v>
      </c>
    </row>
    <row r="96" spans="18:18" x14ac:dyDescent="0.3">
      <c r="R96">
        <v>206</v>
      </c>
    </row>
    <row r="97" spans="18:18" x14ac:dyDescent="0.3">
      <c r="R97">
        <v>236</v>
      </c>
    </row>
    <row r="98" spans="18:18" x14ac:dyDescent="0.3">
      <c r="R98">
        <v>121</v>
      </c>
    </row>
    <row r="99" spans="18:18" x14ac:dyDescent="0.3">
      <c r="R99">
        <v>113</v>
      </c>
    </row>
    <row r="100" spans="18:18" x14ac:dyDescent="0.3">
      <c r="R100">
        <v>119</v>
      </c>
    </row>
    <row r="101" spans="18:18" x14ac:dyDescent="0.3">
      <c r="R101">
        <v>89</v>
      </c>
    </row>
    <row r="102" spans="18:18" x14ac:dyDescent="0.3">
      <c r="R102">
        <v>222</v>
      </c>
    </row>
    <row r="103" spans="18:18" x14ac:dyDescent="0.3">
      <c r="R103">
        <v>233</v>
      </c>
    </row>
    <row r="104" spans="18:18" x14ac:dyDescent="0.3">
      <c r="R104">
        <v>79</v>
      </c>
    </row>
    <row r="105" spans="18:18" x14ac:dyDescent="0.3">
      <c r="R105">
        <v>70</v>
      </c>
    </row>
    <row r="106" spans="18:18" x14ac:dyDescent="0.3">
      <c r="R106">
        <v>172</v>
      </c>
    </row>
    <row r="107" spans="18:18" x14ac:dyDescent="0.3">
      <c r="R107">
        <v>172</v>
      </c>
    </row>
    <row r="108" spans="18:18" x14ac:dyDescent="0.3">
      <c r="R108">
        <v>161</v>
      </c>
    </row>
    <row r="109" spans="18:18" x14ac:dyDescent="0.3">
      <c r="R109">
        <v>203</v>
      </c>
    </row>
    <row r="110" spans="18:18" x14ac:dyDescent="0.3">
      <c r="R110">
        <v>178</v>
      </c>
    </row>
    <row r="111" spans="18:18" x14ac:dyDescent="0.3">
      <c r="R111">
        <v>167</v>
      </c>
    </row>
    <row r="112" spans="18:18" x14ac:dyDescent="0.3">
      <c r="R112">
        <v>152</v>
      </c>
    </row>
    <row r="113" spans="18:18" x14ac:dyDescent="0.3">
      <c r="R113">
        <v>106</v>
      </c>
    </row>
    <row r="114" spans="18:18" x14ac:dyDescent="0.3">
      <c r="R114">
        <v>127</v>
      </c>
    </row>
    <row r="115" spans="18:18" x14ac:dyDescent="0.3">
      <c r="R115">
        <v>77</v>
      </c>
    </row>
    <row r="116" spans="18:18" x14ac:dyDescent="0.3">
      <c r="R116">
        <v>115</v>
      </c>
    </row>
    <row r="117" spans="18:18" x14ac:dyDescent="0.3">
      <c r="R117">
        <v>125</v>
      </c>
    </row>
    <row r="118" spans="18:18" x14ac:dyDescent="0.3">
      <c r="R118">
        <v>203</v>
      </c>
    </row>
    <row r="119" spans="18:18" x14ac:dyDescent="0.3">
      <c r="R119">
        <v>63</v>
      </c>
    </row>
    <row r="120" spans="18:18" x14ac:dyDescent="0.3">
      <c r="R120">
        <v>105</v>
      </c>
    </row>
    <row r="121" spans="18:18" x14ac:dyDescent="0.3">
      <c r="R121">
        <v>178</v>
      </c>
    </row>
    <row r="122" spans="18:18" x14ac:dyDescent="0.3">
      <c r="R122">
        <v>72</v>
      </c>
    </row>
    <row r="123" spans="18:18" x14ac:dyDescent="0.3">
      <c r="R123">
        <v>145</v>
      </c>
    </row>
    <row r="124" spans="18:18" x14ac:dyDescent="0.3">
      <c r="R124">
        <v>67</v>
      </c>
    </row>
    <row r="125" spans="18:18" x14ac:dyDescent="0.3">
      <c r="R125">
        <v>217</v>
      </c>
    </row>
    <row r="126" spans="18:18" x14ac:dyDescent="0.3">
      <c r="R126">
        <v>94</v>
      </c>
    </row>
    <row r="127" spans="18:18" x14ac:dyDescent="0.3">
      <c r="R127">
        <v>205</v>
      </c>
    </row>
    <row r="128" spans="18:18" x14ac:dyDescent="0.3">
      <c r="R128">
        <v>117</v>
      </c>
    </row>
    <row r="129" spans="18:18" x14ac:dyDescent="0.3">
      <c r="R129">
        <v>145</v>
      </c>
    </row>
    <row r="130" spans="18:18" x14ac:dyDescent="0.3">
      <c r="R130">
        <v>153</v>
      </c>
    </row>
    <row r="131" spans="18:18" x14ac:dyDescent="0.3">
      <c r="R131">
        <v>234</v>
      </c>
    </row>
    <row r="132" spans="18:18" x14ac:dyDescent="0.3">
      <c r="R132">
        <v>215</v>
      </c>
    </row>
    <row r="133" spans="18:18" x14ac:dyDescent="0.3">
      <c r="R133">
        <v>77</v>
      </c>
    </row>
    <row r="134" spans="18:18" x14ac:dyDescent="0.3">
      <c r="R134">
        <v>163</v>
      </c>
    </row>
    <row r="135" spans="18:18" x14ac:dyDescent="0.3">
      <c r="R135">
        <v>185</v>
      </c>
    </row>
    <row r="136" spans="18:18" x14ac:dyDescent="0.3">
      <c r="R136">
        <v>204</v>
      </c>
    </row>
    <row r="137" spans="18:18" x14ac:dyDescent="0.3">
      <c r="R137">
        <v>170</v>
      </c>
    </row>
    <row r="138" spans="18:18" x14ac:dyDescent="0.3">
      <c r="R138">
        <v>107</v>
      </c>
    </row>
    <row r="139" spans="18:18" x14ac:dyDescent="0.3">
      <c r="R139">
        <v>191</v>
      </c>
    </row>
    <row r="140" spans="18:18" x14ac:dyDescent="0.3">
      <c r="R140">
        <v>152</v>
      </c>
    </row>
    <row r="141" spans="18:18" x14ac:dyDescent="0.3">
      <c r="R141">
        <v>130</v>
      </c>
    </row>
    <row r="142" spans="18:18" x14ac:dyDescent="0.3">
      <c r="R142">
        <v>230</v>
      </c>
    </row>
    <row r="143" spans="18:18" x14ac:dyDescent="0.3">
      <c r="R143">
        <v>169</v>
      </c>
    </row>
    <row r="144" spans="18:18" x14ac:dyDescent="0.3">
      <c r="R144">
        <v>147</v>
      </c>
    </row>
    <row r="145" spans="18:18" x14ac:dyDescent="0.3">
      <c r="R145">
        <v>132</v>
      </c>
    </row>
    <row r="146" spans="18:18" x14ac:dyDescent="0.3">
      <c r="R146">
        <v>67</v>
      </c>
    </row>
    <row r="147" spans="18:18" x14ac:dyDescent="0.3">
      <c r="R147">
        <v>176</v>
      </c>
    </row>
    <row r="148" spans="18:18" x14ac:dyDescent="0.3">
      <c r="R148">
        <v>156</v>
      </c>
    </row>
    <row r="149" spans="18:18" x14ac:dyDescent="0.3">
      <c r="R149">
        <v>224</v>
      </c>
    </row>
    <row r="150" spans="18:18" x14ac:dyDescent="0.3">
      <c r="R150">
        <v>145</v>
      </c>
    </row>
    <row r="151" spans="18:18" x14ac:dyDescent="0.3">
      <c r="R151">
        <v>74</v>
      </c>
    </row>
    <row r="152" spans="18:18" x14ac:dyDescent="0.3">
      <c r="R152">
        <v>212</v>
      </c>
    </row>
    <row r="153" spans="18:18" x14ac:dyDescent="0.3">
      <c r="R153">
        <v>113</v>
      </c>
    </row>
    <row r="154" spans="18:18" x14ac:dyDescent="0.3">
      <c r="R154">
        <v>61</v>
      </c>
    </row>
    <row r="155" spans="18:18" x14ac:dyDescent="0.3">
      <c r="R155">
        <v>137</v>
      </c>
    </row>
    <row r="156" spans="18:18" x14ac:dyDescent="0.3">
      <c r="R156">
        <v>78</v>
      </c>
    </row>
    <row r="157" spans="18:18" x14ac:dyDescent="0.3">
      <c r="R157">
        <v>141</v>
      </c>
    </row>
    <row r="158" spans="18:18" x14ac:dyDescent="0.3">
      <c r="R158">
        <v>146</v>
      </c>
    </row>
    <row r="159" spans="18:18" x14ac:dyDescent="0.3">
      <c r="R159">
        <v>286</v>
      </c>
    </row>
    <row r="160" spans="18:18" x14ac:dyDescent="0.3">
      <c r="R160">
        <v>200</v>
      </c>
    </row>
    <row r="161" spans="18:18" x14ac:dyDescent="0.3">
      <c r="R161">
        <v>73</v>
      </c>
    </row>
    <row r="162" spans="18:18" x14ac:dyDescent="0.3">
      <c r="R162">
        <v>141</v>
      </c>
    </row>
    <row r="163" spans="18:18" x14ac:dyDescent="0.3">
      <c r="R163">
        <v>165</v>
      </c>
    </row>
    <row r="164" spans="18:18" x14ac:dyDescent="0.3">
      <c r="R164">
        <v>139</v>
      </c>
    </row>
    <row r="165" spans="18:18" x14ac:dyDescent="0.3">
      <c r="R165">
        <v>152</v>
      </c>
    </row>
    <row r="166" spans="18:18" x14ac:dyDescent="0.3">
      <c r="R166">
        <v>109</v>
      </c>
    </row>
    <row r="167" spans="18:18" x14ac:dyDescent="0.3">
      <c r="R167">
        <v>181</v>
      </c>
    </row>
    <row r="168" spans="18:18" x14ac:dyDescent="0.3">
      <c r="R168">
        <v>138</v>
      </c>
    </row>
    <row r="169" spans="18:18" x14ac:dyDescent="0.3">
      <c r="R169">
        <v>132</v>
      </c>
    </row>
    <row r="170" spans="18:18" x14ac:dyDescent="0.3">
      <c r="R170">
        <v>85</v>
      </c>
    </row>
    <row r="171" spans="18:18" x14ac:dyDescent="0.3">
      <c r="R171">
        <v>225</v>
      </c>
    </row>
    <row r="172" spans="18:18" x14ac:dyDescent="0.3">
      <c r="R172">
        <v>117</v>
      </c>
    </row>
    <row r="173" spans="18:18" x14ac:dyDescent="0.3">
      <c r="R173">
        <v>208</v>
      </c>
    </row>
    <row r="174" spans="18:18" x14ac:dyDescent="0.3">
      <c r="R174">
        <v>132</v>
      </c>
    </row>
    <row r="175" spans="18:18" x14ac:dyDescent="0.3">
      <c r="R175">
        <v>72</v>
      </c>
    </row>
    <row r="176" spans="18:18" x14ac:dyDescent="0.3">
      <c r="R176">
        <v>206</v>
      </c>
    </row>
    <row r="177" spans="18:18" x14ac:dyDescent="0.3">
      <c r="R177">
        <v>128</v>
      </c>
    </row>
    <row r="178" spans="18:18" x14ac:dyDescent="0.3">
      <c r="R178">
        <v>211</v>
      </c>
    </row>
    <row r="179" spans="18:18" x14ac:dyDescent="0.3">
      <c r="R179">
        <v>175</v>
      </c>
    </row>
    <row r="180" spans="18:18" x14ac:dyDescent="0.3">
      <c r="R180">
        <v>219</v>
      </c>
    </row>
    <row r="181" spans="18:18" x14ac:dyDescent="0.3">
      <c r="R181">
        <v>188</v>
      </c>
    </row>
    <row r="182" spans="18:18" x14ac:dyDescent="0.3">
      <c r="R182">
        <v>161</v>
      </c>
    </row>
    <row r="183" spans="18:18" x14ac:dyDescent="0.3">
      <c r="R183">
        <v>233</v>
      </c>
    </row>
    <row r="184" spans="18:18" x14ac:dyDescent="0.3">
      <c r="R184">
        <v>206</v>
      </c>
    </row>
    <row r="185" spans="18:18" x14ac:dyDescent="0.3">
      <c r="R185">
        <v>124</v>
      </c>
    </row>
    <row r="186" spans="18:18" x14ac:dyDescent="0.3">
      <c r="R186">
        <v>198</v>
      </c>
    </row>
    <row r="187" spans="18:18" x14ac:dyDescent="0.3">
      <c r="R187">
        <v>238</v>
      </c>
    </row>
    <row r="188" spans="18:18" x14ac:dyDescent="0.3">
      <c r="R188">
        <v>185</v>
      </c>
    </row>
    <row r="189" spans="18:18" x14ac:dyDescent="0.3">
      <c r="R189">
        <v>236</v>
      </c>
    </row>
    <row r="190" spans="18:18" x14ac:dyDescent="0.3">
      <c r="R190">
        <v>199</v>
      </c>
    </row>
    <row r="191" spans="18:18" x14ac:dyDescent="0.3">
      <c r="R191">
        <v>152</v>
      </c>
    </row>
    <row r="192" spans="18:18" x14ac:dyDescent="0.3">
      <c r="R192">
        <v>231</v>
      </c>
    </row>
    <row r="193" spans="18:18" x14ac:dyDescent="0.3">
      <c r="R193">
        <v>170</v>
      </c>
    </row>
    <row r="194" spans="18:18" x14ac:dyDescent="0.3">
      <c r="R194">
        <v>86</v>
      </c>
    </row>
    <row r="195" spans="18:18" x14ac:dyDescent="0.3">
      <c r="R195">
        <v>67</v>
      </c>
    </row>
    <row r="196" spans="18:18" x14ac:dyDescent="0.3">
      <c r="R196">
        <v>173</v>
      </c>
    </row>
    <row r="197" spans="18:18" x14ac:dyDescent="0.3">
      <c r="R197">
        <v>219</v>
      </c>
    </row>
    <row r="198" spans="18:18" x14ac:dyDescent="0.3">
      <c r="R198">
        <v>157</v>
      </c>
    </row>
    <row r="199" spans="18:18" x14ac:dyDescent="0.3">
      <c r="R199">
        <v>73</v>
      </c>
    </row>
    <row r="200" spans="18:18" x14ac:dyDescent="0.3">
      <c r="R200">
        <v>205</v>
      </c>
    </row>
    <row r="201" spans="18:18" x14ac:dyDescent="0.3">
      <c r="R201">
        <v>177</v>
      </c>
    </row>
    <row r="202" spans="18:18" x14ac:dyDescent="0.3">
      <c r="R202">
        <v>196</v>
      </c>
    </row>
    <row r="203" spans="18:18" x14ac:dyDescent="0.3">
      <c r="R203">
        <v>123</v>
      </c>
    </row>
    <row r="204" spans="18:18" x14ac:dyDescent="0.3">
      <c r="R204">
        <v>86</v>
      </c>
    </row>
    <row r="205" spans="18:18" x14ac:dyDescent="0.3">
      <c r="R205">
        <v>106</v>
      </c>
    </row>
    <row r="206" spans="18:18" x14ac:dyDescent="0.3">
      <c r="R206">
        <v>185</v>
      </c>
    </row>
    <row r="207" spans="18:18" x14ac:dyDescent="0.3">
      <c r="R207">
        <v>106</v>
      </c>
    </row>
    <row r="208" spans="18:18" x14ac:dyDescent="0.3">
      <c r="R208">
        <v>131</v>
      </c>
    </row>
    <row r="209" spans="18:18" x14ac:dyDescent="0.3">
      <c r="R209">
        <v>200</v>
      </c>
    </row>
    <row r="210" spans="18:18" x14ac:dyDescent="0.3">
      <c r="R210">
        <v>65</v>
      </c>
    </row>
    <row r="211" spans="18:18" x14ac:dyDescent="0.3">
      <c r="R211">
        <v>142</v>
      </c>
    </row>
    <row r="212" spans="18:18" x14ac:dyDescent="0.3">
      <c r="R212">
        <v>186</v>
      </c>
    </row>
    <row r="213" spans="18:18" x14ac:dyDescent="0.3">
      <c r="R213">
        <v>144</v>
      </c>
    </row>
    <row r="214" spans="18:18" x14ac:dyDescent="0.3">
      <c r="R214">
        <v>204</v>
      </c>
    </row>
    <row r="215" spans="18:18" x14ac:dyDescent="0.3">
      <c r="R215">
        <v>143</v>
      </c>
    </row>
    <row r="216" spans="18:18" x14ac:dyDescent="0.3">
      <c r="R216">
        <v>214</v>
      </c>
    </row>
    <row r="217" spans="18:18" x14ac:dyDescent="0.3">
      <c r="R217">
        <v>89</v>
      </c>
    </row>
    <row r="218" spans="18:18" x14ac:dyDescent="0.3">
      <c r="R218">
        <v>88</v>
      </c>
    </row>
    <row r="219" spans="18:18" x14ac:dyDescent="0.3">
      <c r="R219">
        <v>219</v>
      </c>
    </row>
    <row r="220" spans="18:18" x14ac:dyDescent="0.3">
      <c r="R220">
        <v>223</v>
      </c>
    </row>
    <row r="221" spans="18:18" x14ac:dyDescent="0.3">
      <c r="R221">
        <v>107</v>
      </c>
    </row>
    <row r="222" spans="18:18" x14ac:dyDescent="0.3">
      <c r="R222">
        <v>240</v>
      </c>
    </row>
    <row r="223" spans="18:18" x14ac:dyDescent="0.3">
      <c r="R223">
        <v>236</v>
      </c>
    </row>
    <row r="224" spans="18:18" x14ac:dyDescent="0.3">
      <c r="R224">
        <v>103</v>
      </c>
    </row>
    <row r="225" spans="18:18" x14ac:dyDescent="0.3">
      <c r="R225">
        <v>211</v>
      </c>
    </row>
    <row r="226" spans="18:18" x14ac:dyDescent="0.3">
      <c r="R226">
        <v>234</v>
      </c>
    </row>
    <row r="227" spans="18:18" x14ac:dyDescent="0.3">
      <c r="R227">
        <v>186</v>
      </c>
    </row>
    <row r="228" spans="18:18" x14ac:dyDescent="0.3">
      <c r="R228">
        <v>179</v>
      </c>
    </row>
    <row r="229" spans="18:18" x14ac:dyDescent="0.3">
      <c r="R229">
        <v>134</v>
      </c>
    </row>
    <row r="230" spans="18:18" x14ac:dyDescent="0.3">
      <c r="R230">
        <v>185</v>
      </c>
    </row>
    <row r="231" spans="18:18" x14ac:dyDescent="0.3">
      <c r="R231">
        <v>140</v>
      </c>
    </row>
    <row r="232" spans="18:18" x14ac:dyDescent="0.3">
      <c r="R232">
        <v>191</v>
      </c>
    </row>
    <row r="233" spans="18:18" x14ac:dyDescent="0.3">
      <c r="R233">
        <v>212</v>
      </c>
    </row>
    <row r="234" spans="18:18" x14ac:dyDescent="0.3">
      <c r="R234">
        <v>180</v>
      </c>
    </row>
    <row r="235" spans="18:18" x14ac:dyDescent="0.3">
      <c r="R235">
        <v>141</v>
      </c>
    </row>
    <row r="236" spans="18:18" x14ac:dyDescent="0.3">
      <c r="R236">
        <v>122</v>
      </c>
    </row>
    <row r="237" spans="18:18" x14ac:dyDescent="0.3">
      <c r="R237">
        <v>137</v>
      </c>
    </row>
    <row r="238" spans="18:18" x14ac:dyDescent="0.3">
      <c r="R238">
        <v>174</v>
      </c>
    </row>
    <row r="239" spans="18:18" x14ac:dyDescent="0.3">
      <c r="R239">
        <v>152</v>
      </c>
    </row>
    <row r="240" spans="18:18" x14ac:dyDescent="0.3">
      <c r="R240">
        <v>79</v>
      </c>
    </row>
    <row r="241" spans="18:18" x14ac:dyDescent="0.3">
      <c r="R241">
        <v>159</v>
      </c>
    </row>
    <row r="242" spans="18:18" x14ac:dyDescent="0.3">
      <c r="R242">
        <v>93</v>
      </c>
    </row>
    <row r="243" spans="18:18" x14ac:dyDescent="0.3">
      <c r="R243">
        <v>99</v>
      </c>
    </row>
    <row r="244" spans="18:18" x14ac:dyDescent="0.3">
      <c r="R244">
        <v>134</v>
      </c>
    </row>
    <row r="245" spans="18:18" x14ac:dyDescent="0.3">
      <c r="R245">
        <v>145</v>
      </c>
    </row>
    <row r="246" spans="18:18" x14ac:dyDescent="0.3">
      <c r="R246">
        <v>175</v>
      </c>
    </row>
    <row r="247" spans="18:18" x14ac:dyDescent="0.3">
      <c r="R247">
        <v>116</v>
      </c>
    </row>
    <row r="248" spans="18:18" x14ac:dyDescent="0.3">
      <c r="R248">
        <v>93</v>
      </c>
    </row>
    <row r="249" spans="18:18" x14ac:dyDescent="0.3">
      <c r="R249">
        <v>207</v>
      </c>
    </row>
    <row r="250" spans="18:18" x14ac:dyDescent="0.3">
      <c r="R250">
        <v>238</v>
      </c>
    </row>
    <row r="251" spans="18:18" x14ac:dyDescent="0.3">
      <c r="R251">
        <v>140</v>
      </c>
    </row>
    <row r="252" spans="18:18" x14ac:dyDescent="0.3">
      <c r="R252">
        <v>106</v>
      </c>
    </row>
    <row r="253" spans="18:18" x14ac:dyDescent="0.3">
      <c r="R253">
        <v>82</v>
      </c>
    </row>
    <row r="254" spans="18:18" x14ac:dyDescent="0.3">
      <c r="R254">
        <v>158</v>
      </c>
    </row>
    <row r="255" spans="18:18" x14ac:dyDescent="0.3">
      <c r="R255">
        <v>220</v>
      </c>
    </row>
    <row r="256" spans="18:18" x14ac:dyDescent="0.3">
      <c r="R256">
        <v>138</v>
      </c>
    </row>
    <row r="257" spans="18:18" x14ac:dyDescent="0.3">
      <c r="R257">
        <v>156</v>
      </c>
    </row>
    <row r="258" spans="18:18" x14ac:dyDescent="0.3">
      <c r="R258">
        <v>94</v>
      </c>
    </row>
    <row r="259" spans="18:18" x14ac:dyDescent="0.3">
      <c r="R259">
        <v>200</v>
      </c>
    </row>
    <row r="260" spans="18:18" x14ac:dyDescent="0.3">
      <c r="R260">
        <v>222</v>
      </c>
    </row>
    <row r="261" spans="18:18" x14ac:dyDescent="0.3">
      <c r="R261">
        <v>64</v>
      </c>
    </row>
    <row r="262" spans="18:18" x14ac:dyDescent="0.3">
      <c r="R262">
        <v>172</v>
      </c>
    </row>
    <row r="263" spans="18:18" x14ac:dyDescent="0.3">
      <c r="R263">
        <v>159</v>
      </c>
    </row>
    <row r="264" spans="18:18" x14ac:dyDescent="0.3">
      <c r="R264">
        <v>132</v>
      </c>
    </row>
    <row r="265" spans="18:18" x14ac:dyDescent="0.3">
      <c r="R265">
        <v>154</v>
      </c>
    </row>
    <row r="266" spans="18:18" x14ac:dyDescent="0.3">
      <c r="R266">
        <v>130</v>
      </c>
    </row>
    <row r="267" spans="18:18" x14ac:dyDescent="0.3">
      <c r="R267">
        <v>281</v>
      </c>
    </row>
    <row r="268" spans="18:18" x14ac:dyDescent="0.3">
      <c r="R268">
        <v>61</v>
      </c>
    </row>
    <row r="269" spans="18:18" x14ac:dyDescent="0.3">
      <c r="R269">
        <v>100</v>
      </c>
    </row>
    <row r="270" spans="18:18" x14ac:dyDescent="0.3">
      <c r="R270">
        <v>201</v>
      </c>
    </row>
    <row r="271" spans="18:18" x14ac:dyDescent="0.3">
      <c r="R271">
        <v>163</v>
      </c>
    </row>
    <row r="272" spans="18:18" x14ac:dyDescent="0.3">
      <c r="R272">
        <v>67</v>
      </c>
    </row>
    <row r="273" spans="18:18" x14ac:dyDescent="0.3">
      <c r="R273">
        <v>214</v>
      </c>
    </row>
    <row r="274" spans="18:18" x14ac:dyDescent="0.3">
      <c r="R274">
        <v>154</v>
      </c>
    </row>
    <row r="275" spans="18:18" x14ac:dyDescent="0.3">
      <c r="R275">
        <v>90</v>
      </c>
    </row>
    <row r="276" spans="18:18" x14ac:dyDescent="0.3">
      <c r="R276">
        <v>210</v>
      </c>
    </row>
    <row r="277" spans="18:18" x14ac:dyDescent="0.3">
      <c r="R277">
        <v>118</v>
      </c>
    </row>
    <row r="278" spans="18:18" x14ac:dyDescent="0.3">
      <c r="R278">
        <v>229</v>
      </c>
    </row>
    <row r="279" spans="18:18" x14ac:dyDescent="0.3">
      <c r="R279">
        <v>214</v>
      </c>
    </row>
    <row r="280" spans="18:18" x14ac:dyDescent="0.3">
      <c r="R280">
        <v>129</v>
      </c>
    </row>
    <row r="281" spans="18:18" x14ac:dyDescent="0.3">
      <c r="R281">
        <v>114</v>
      </c>
    </row>
    <row r="282" spans="18:18" x14ac:dyDescent="0.3">
      <c r="R282">
        <v>160</v>
      </c>
    </row>
    <row r="283" spans="18:18" x14ac:dyDescent="0.3">
      <c r="R283">
        <v>176</v>
      </c>
    </row>
    <row r="284" spans="18:18" x14ac:dyDescent="0.3">
      <c r="R284">
        <v>158</v>
      </c>
    </row>
    <row r="285" spans="18:18" x14ac:dyDescent="0.3">
      <c r="R285">
        <v>190</v>
      </c>
    </row>
    <row r="286" spans="18:18" x14ac:dyDescent="0.3">
      <c r="R286">
        <v>150</v>
      </c>
    </row>
    <row r="287" spans="18:18" x14ac:dyDescent="0.3">
      <c r="R287">
        <v>105</v>
      </c>
    </row>
    <row r="288" spans="18:18" x14ac:dyDescent="0.3">
      <c r="R288">
        <v>143</v>
      </c>
    </row>
    <row r="289" spans="18:18" x14ac:dyDescent="0.3">
      <c r="R289">
        <v>185</v>
      </c>
    </row>
    <row r="290" spans="18:18" x14ac:dyDescent="0.3">
      <c r="R290">
        <v>110</v>
      </c>
    </row>
    <row r="291" spans="18:18" x14ac:dyDescent="0.3">
      <c r="R291">
        <v>117</v>
      </c>
    </row>
    <row r="292" spans="18:18" x14ac:dyDescent="0.3">
      <c r="R292">
        <v>176</v>
      </c>
    </row>
    <row r="293" spans="18:18" x14ac:dyDescent="0.3">
      <c r="R293">
        <v>147</v>
      </c>
    </row>
    <row r="294" spans="18:18" x14ac:dyDescent="0.3">
      <c r="R294">
        <v>139</v>
      </c>
    </row>
    <row r="295" spans="18:18" x14ac:dyDescent="0.3">
      <c r="R295">
        <v>260</v>
      </c>
    </row>
    <row r="296" spans="18:18" x14ac:dyDescent="0.3">
      <c r="R296">
        <v>234</v>
      </c>
    </row>
    <row r="297" spans="18:18" x14ac:dyDescent="0.3">
      <c r="R297">
        <v>231</v>
      </c>
    </row>
    <row r="298" spans="18:18" x14ac:dyDescent="0.3">
      <c r="R298">
        <v>154</v>
      </c>
    </row>
    <row r="299" spans="18:18" x14ac:dyDescent="0.3">
      <c r="R299">
        <v>217</v>
      </c>
    </row>
    <row r="300" spans="18:18" x14ac:dyDescent="0.3">
      <c r="R300">
        <v>179</v>
      </c>
    </row>
    <row r="301" spans="18:18" x14ac:dyDescent="0.3">
      <c r="R301">
        <v>177</v>
      </c>
    </row>
    <row r="302" spans="18:18" x14ac:dyDescent="0.3">
      <c r="R302">
        <v>82</v>
      </c>
    </row>
    <row r="303" spans="18:18" x14ac:dyDescent="0.3">
      <c r="R303">
        <v>232</v>
      </c>
    </row>
    <row r="304" spans="18:18" x14ac:dyDescent="0.3">
      <c r="R304">
        <v>214</v>
      </c>
    </row>
    <row r="305" spans="18:18" x14ac:dyDescent="0.3">
      <c r="R305">
        <v>172</v>
      </c>
    </row>
    <row r="306" spans="18:18" x14ac:dyDescent="0.3">
      <c r="R306">
        <v>60</v>
      </c>
    </row>
    <row r="307" spans="18:18" x14ac:dyDescent="0.3">
      <c r="R307">
        <v>230</v>
      </c>
    </row>
    <row r="308" spans="18:18" x14ac:dyDescent="0.3">
      <c r="R308">
        <v>114</v>
      </c>
    </row>
    <row r="309" spans="18:18" x14ac:dyDescent="0.3">
      <c r="R309">
        <v>207</v>
      </c>
    </row>
    <row r="310" spans="18:18" x14ac:dyDescent="0.3">
      <c r="R310">
        <v>178</v>
      </c>
    </row>
    <row r="311" spans="18:18" x14ac:dyDescent="0.3">
      <c r="R311">
        <v>204</v>
      </c>
    </row>
    <row r="312" spans="18:18" x14ac:dyDescent="0.3">
      <c r="R312">
        <v>211</v>
      </c>
    </row>
    <row r="313" spans="18:18" x14ac:dyDescent="0.3">
      <c r="R313">
        <v>96</v>
      </c>
    </row>
    <row r="314" spans="18:18" x14ac:dyDescent="0.3">
      <c r="R314">
        <v>216</v>
      </c>
    </row>
    <row r="315" spans="18:18" x14ac:dyDescent="0.3">
      <c r="R315">
        <v>75</v>
      </c>
    </row>
    <row r="316" spans="18:18" x14ac:dyDescent="0.3">
      <c r="R316">
        <v>106</v>
      </c>
    </row>
    <row r="317" spans="18:18" x14ac:dyDescent="0.3">
      <c r="R317">
        <v>115</v>
      </c>
    </row>
    <row r="318" spans="18:18" x14ac:dyDescent="0.3">
      <c r="R318">
        <v>104</v>
      </c>
    </row>
    <row r="319" spans="18:18" x14ac:dyDescent="0.3">
      <c r="R319">
        <v>186</v>
      </c>
    </row>
    <row r="320" spans="18:18" x14ac:dyDescent="0.3">
      <c r="R320">
        <v>157</v>
      </c>
    </row>
    <row r="321" spans="18:18" x14ac:dyDescent="0.3">
      <c r="R321">
        <v>231</v>
      </c>
    </row>
    <row r="322" spans="18:18" x14ac:dyDescent="0.3">
      <c r="R322">
        <v>65</v>
      </c>
    </row>
    <row r="323" spans="18:18" x14ac:dyDescent="0.3">
      <c r="R323">
        <v>295</v>
      </c>
    </row>
    <row r="324" spans="18:18" x14ac:dyDescent="0.3">
      <c r="R324">
        <v>108</v>
      </c>
    </row>
    <row r="325" spans="18:18" x14ac:dyDescent="0.3">
      <c r="R325">
        <v>224</v>
      </c>
    </row>
    <row r="326" spans="18:18" x14ac:dyDescent="0.3">
      <c r="R326">
        <v>149</v>
      </c>
    </row>
    <row r="327" spans="18:18" x14ac:dyDescent="0.3">
      <c r="R327">
        <v>179</v>
      </c>
    </row>
    <row r="328" spans="18:18" x14ac:dyDescent="0.3">
      <c r="R328">
        <v>63</v>
      </c>
    </row>
    <row r="329" spans="18:18" x14ac:dyDescent="0.3">
      <c r="R329">
        <v>80</v>
      </c>
    </row>
    <row r="330" spans="18:18" x14ac:dyDescent="0.3">
      <c r="R330">
        <v>140</v>
      </c>
    </row>
    <row r="331" spans="18:18" x14ac:dyDescent="0.3">
      <c r="R331">
        <v>154</v>
      </c>
    </row>
    <row r="332" spans="18:18" x14ac:dyDescent="0.3">
      <c r="R332">
        <v>152</v>
      </c>
    </row>
    <row r="333" spans="18:18" x14ac:dyDescent="0.3">
      <c r="R333">
        <v>156</v>
      </c>
    </row>
    <row r="334" spans="18:18" x14ac:dyDescent="0.3">
      <c r="R334">
        <v>197</v>
      </c>
    </row>
    <row r="335" spans="18:18" x14ac:dyDescent="0.3">
      <c r="R335">
        <v>196</v>
      </c>
    </row>
    <row r="336" spans="18:18" x14ac:dyDescent="0.3">
      <c r="R336">
        <v>153</v>
      </c>
    </row>
    <row r="337" spans="18:18" x14ac:dyDescent="0.3">
      <c r="R337">
        <v>213</v>
      </c>
    </row>
    <row r="338" spans="18:18" x14ac:dyDescent="0.3">
      <c r="R338">
        <v>102</v>
      </c>
    </row>
    <row r="339" spans="18:18" x14ac:dyDescent="0.3">
      <c r="R339">
        <v>101</v>
      </c>
    </row>
    <row r="340" spans="18:18" x14ac:dyDescent="0.3">
      <c r="R340">
        <v>155</v>
      </c>
    </row>
    <row r="341" spans="18:18" x14ac:dyDescent="0.3">
      <c r="R341">
        <v>192</v>
      </c>
    </row>
    <row r="342" spans="18:18" x14ac:dyDescent="0.3">
      <c r="R342">
        <v>152</v>
      </c>
    </row>
    <row r="343" spans="18:18" x14ac:dyDescent="0.3">
      <c r="R343">
        <v>125</v>
      </c>
    </row>
    <row r="344" spans="18:18" x14ac:dyDescent="0.3">
      <c r="R344">
        <v>172</v>
      </c>
    </row>
    <row r="345" spans="18:18" x14ac:dyDescent="0.3">
      <c r="R345">
        <v>86</v>
      </c>
    </row>
    <row r="346" spans="18:18" x14ac:dyDescent="0.3">
      <c r="R346">
        <v>64</v>
      </c>
    </row>
    <row r="347" spans="18:18" x14ac:dyDescent="0.3">
      <c r="R347">
        <v>175</v>
      </c>
    </row>
    <row r="348" spans="18:18" x14ac:dyDescent="0.3">
      <c r="R348">
        <v>232</v>
      </c>
    </row>
    <row r="349" spans="18:18" x14ac:dyDescent="0.3">
      <c r="R349">
        <v>62</v>
      </c>
    </row>
    <row r="350" spans="18:18" x14ac:dyDescent="0.3">
      <c r="R350">
        <v>133</v>
      </c>
    </row>
    <row r="351" spans="18:18" x14ac:dyDescent="0.3">
      <c r="R351">
        <v>123</v>
      </c>
    </row>
    <row r="352" spans="18:18" x14ac:dyDescent="0.3">
      <c r="R352">
        <v>165</v>
      </c>
    </row>
    <row r="353" spans="18:18" x14ac:dyDescent="0.3">
      <c r="R353">
        <v>173</v>
      </c>
    </row>
  </sheetData>
  <mergeCells count="2">
    <mergeCell ref="B1:C1"/>
    <mergeCell ref="R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Jiju</cp:lastModifiedBy>
  <dcterms:created xsi:type="dcterms:W3CDTF">2024-12-06T07:14:02Z</dcterms:created>
  <dcterms:modified xsi:type="dcterms:W3CDTF">2025-08-30T12:28:26Z</dcterms:modified>
</cp:coreProperties>
</file>